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resultsval" sheetId="1" r:id="rId1"/>
    <sheet name="resulttes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<sst xmlns="http://schemas.openxmlformats.org/spreadsheetml/2006/main" count="64" uniqueCount="44">
  <si>
    <t>name</t>
  </si>
  <si>
    <t>weight_path</t>
  </si>
  <si>
    <t>Class</t>
  </si>
  <si>
    <t>Images</t>
  </si>
  <si>
    <t>Instances</t>
  </si>
  <si>
    <t>Box(P)</t>
  </si>
  <si>
    <t>Box(R)</t>
  </si>
  <si>
    <t>Box(mAP50)</t>
  </si>
  <si>
    <t>Box(mAP50-95)</t>
  </si>
  <si>
    <t>Mask(P)</t>
  </si>
  <si>
    <t>Mask(R)</t>
  </si>
  <si>
    <t>Mask(mAP50)</t>
  </si>
  <si>
    <t>Mask(mAP50-95)</t>
  </si>
  <si>
    <t>IoU_fg</t>
  </si>
  <si>
    <t>IoU_bg</t>
  </si>
  <si>
    <t>mIoU</t>
  </si>
  <si>
    <t>baseline_paper</t>
  </si>
  <si>
    <t>D:\yolov8-0301\ultralytics-main\runs\segment\0314_paper\baseline_paper\weights\best.pt</t>
  </si>
  <si>
    <t>all</t>
  </si>
  <si>
    <t>yolov8-seg-mdka-sadilation-sppf-replk-full</t>
  </si>
  <si>
    <t>D:\yolov8-0301\ultralytics-main\runs\segment\0314_paper\yolov8-seg-mdka-sadilation-sppf-replk-full\weights\best.pt</t>
  </si>
  <si>
    <t>yolov8-seg-mdka-sadilation</t>
  </si>
  <si>
    <t>D:\yolov8-0301\ultralytics-main\runs\segment\0314_paper\yolov8-seg-mdka-sadilation\weights\best.pt</t>
  </si>
  <si>
    <t>yolov8-seg-spd13-mdka-sadilation-sppf-replk-full</t>
  </si>
  <si>
    <t>D:\yolov8-0301\ultralytics-main\runs\segment\0314_paper\yolov8-seg-spd13-mdka-sadilation-sppf-replk-full\weights\best.pt</t>
  </si>
  <si>
    <t>yolov8-seg-spd13-sppf-replk-full</t>
  </si>
  <si>
    <t>D:\yolov8-0301\ultralytics-main\runs\segment\0314_paper\yolov8-seg-spd13-sppf-replk-full\weights\best.pt</t>
  </si>
  <si>
    <t>yolov8-seg-spd13</t>
  </si>
  <si>
    <t>D:\yolov8-0301\ultralytics-main\runs\segment\0314_paper\yolov8-seg-spd13\weights\best.pt</t>
  </si>
  <si>
    <t>yolov8-seg-sppf-replk-full</t>
  </si>
  <si>
    <t>D:\yolov8-0301\ultralytics-main\runs\segment\0314_paper\yolov8-seg-sppf-replk-full\weights\best.pt</t>
  </si>
  <si>
    <t>parameters</t>
  </si>
  <si>
    <t>GFLOPs</t>
  </si>
  <si>
    <t>inference_ms</t>
  </si>
  <si>
    <t>FPS</t>
  </si>
  <si>
    <t>F1score</t>
  </si>
  <si>
    <t>yolov8-seg-mdka-sadilation-sppf-replk-full_seed43</t>
  </si>
  <si>
    <t>yolov8-seg-mdka-sadilation_seed43</t>
  </si>
  <si>
    <t>yolov8-seg-spd13-mdka-sadilation-sppf-replk-full_seed43</t>
  </si>
  <si>
    <t>yolov8-seg-spd13-mdka-sadilation_seed43</t>
  </si>
  <si>
    <t>yolov8-seg-spd13-sppf-replk-full_seed43</t>
  </si>
  <si>
    <t>yolov8-seg-spd13_seed43</t>
  </si>
  <si>
    <t>yolov8-seg-sppf-replk-full_seed43</t>
  </si>
  <si>
    <t>yolov8-seg_seed43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</si>
</sst>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 applyFill="1" applyAlignment="1"/>
    <xf numFmtId="0" fontId="2" fillId="0" borderId="1" xfId="0" applyFont="1" applyFill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8"/>
  <sheetViews>
    <sheetView workbookViewId="0">
      <selection activeCell="L2" sqref="L2"/>
    </sheetView>
  </sheetViews>
  <sheetFormatPr defaultColWidth="9" defaultRowHeight="13.5" outlineLevelRow="7"/>
  <cols>
    <col min="1" max="1" width="58.125" customWidth="1"/>
    <col min="12" max="12" width="23.5" customWidth="1"/>
    <col min="13" max="13" width="20.5" customWidth="1"/>
    <col min="16" max="16" width="29.375" customWidth="1"/>
  </cols>
  <sheetData>
    <row r="1" spans="1:1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</row>
    <row r="2" spans="1:16">
      <c r="A2" t="s">
        <v>16</v>
      </c>
      <c r="B2" t="s">
        <v>17</v>
      </c>
      <c r="C2" t="s">
        <v>18</v>
      </c>
      <c r="D2">
        <v>805</v>
      </c>
      <c r="E2">
        <v>1057</v>
      </c>
      <c r="F2">
        <v>0.849246041901464</v>
      </c>
      <c r="G2">
        <v>0.763481551561022</v>
      </c>
      <c r="H2">
        <v>0.817164972662887</v>
      </c>
      <c r="I2">
        <v>0.644050444938936</v>
      </c>
      <c r="J2">
        <v>0.784110653259116</v>
      </c>
      <c r="K2">
        <v>0.663175509650389</v>
      </c>
      <c r="L2">
        <v>0.644000791183443</v>
      </c>
      <c r="M2">
        <v>0.204836974427965</v>
      </c>
      <c r="N2">
        <v>0.583656951314134</v>
      </c>
      <c r="O2">
        <v>0.988614193656855</v>
      </c>
      <c r="P2">
        <v>0.786135572485495</v>
      </c>
    </row>
    <row r="3" spans="1:16">
      <c r="A3" t="s">
        <v>19</v>
      </c>
      <c r="B3" t="s">
        <v>20</v>
      </c>
      <c r="C3" t="s">
        <v>18</v>
      </c>
      <c r="D3">
        <v>805</v>
      </c>
      <c r="E3">
        <v>1057</v>
      </c>
      <c r="F3">
        <v>0.868647627733892</v>
      </c>
      <c r="G3">
        <v>0.771996215704825</v>
      </c>
      <c r="H3">
        <v>0.831329313720845</v>
      </c>
      <c r="I3">
        <v>0.681701302694635</v>
      </c>
      <c r="J3">
        <v>0.789611645200485</v>
      </c>
      <c r="K3">
        <v>0.657521286660359</v>
      </c>
      <c r="L3">
        <v>0.634448270664663</v>
      </c>
      <c r="M3">
        <v>0.203475423596057</v>
      </c>
      <c r="N3">
        <v>0.587824858804687</v>
      </c>
      <c r="O3">
        <v>0.989094991234723</v>
      </c>
      <c r="P3">
        <v>0.788459925019705</v>
      </c>
    </row>
    <row r="4" spans="1:16">
      <c r="A4" t="s">
        <v>21</v>
      </c>
      <c r="B4" t="s">
        <v>22</v>
      </c>
      <c r="C4" t="s">
        <v>18</v>
      </c>
      <c r="D4">
        <v>805</v>
      </c>
      <c r="E4">
        <v>1057</v>
      </c>
      <c r="F4">
        <v>0.856669010824657</v>
      </c>
      <c r="G4">
        <v>0.774673352503611</v>
      </c>
      <c r="H4">
        <v>0.832625610068178</v>
      </c>
      <c r="I4">
        <v>0.674607928180795</v>
      </c>
      <c r="J4">
        <v>0.720527189640994</v>
      </c>
      <c r="K4">
        <v>0.675496688741722</v>
      </c>
      <c r="L4">
        <v>0.628280027672225</v>
      </c>
      <c r="M4">
        <v>0.196705184990645</v>
      </c>
      <c r="N4">
        <v>0.571519423045309</v>
      </c>
      <c r="O4">
        <v>0.988314846531559</v>
      </c>
      <c r="P4">
        <v>0.779917134788434</v>
      </c>
    </row>
    <row r="5" spans="1:16">
      <c r="A5" t="s">
        <v>23</v>
      </c>
      <c r="B5" t="s">
        <v>24</v>
      </c>
      <c r="C5" t="s">
        <v>18</v>
      </c>
      <c r="D5">
        <v>805</v>
      </c>
      <c r="E5">
        <v>1057</v>
      </c>
      <c r="F5">
        <v>0.88475938560675</v>
      </c>
      <c r="G5">
        <v>0.757805108798486</v>
      </c>
      <c r="H5">
        <v>0.835804909401983</v>
      </c>
      <c r="I5">
        <v>0.677823823564001</v>
      </c>
      <c r="J5">
        <v>0.77829226080274</v>
      </c>
      <c r="K5">
        <v>0.666035950804163</v>
      </c>
      <c r="L5">
        <v>0.647903027800363</v>
      </c>
      <c r="M5">
        <v>0.203152033668318</v>
      </c>
      <c r="N5">
        <v>0.576352451601136</v>
      </c>
      <c r="O5">
        <v>0.988486098404929</v>
      </c>
      <c r="P5">
        <v>0.782419275003032</v>
      </c>
    </row>
    <row r="6" spans="1:16">
      <c r="A6" t="s">
        <v>25</v>
      </c>
      <c r="B6" t="s">
        <v>26</v>
      </c>
      <c r="C6" t="s">
        <v>18</v>
      </c>
      <c r="D6">
        <v>805</v>
      </c>
      <c r="E6">
        <v>1057</v>
      </c>
      <c r="F6">
        <v>0.867576419584502</v>
      </c>
      <c r="G6">
        <v>0.771050141911069</v>
      </c>
      <c r="H6">
        <v>0.841955498453523</v>
      </c>
      <c r="I6">
        <v>0.673675199959811</v>
      </c>
      <c r="J6">
        <v>0.796416060751708</v>
      </c>
      <c r="K6">
        <v>0.637653736991485</v>
      </c>
      <c r="L6">
        <v>0.651053119131599</v>
      </c>
      <c r="M6">
        <v>0.203735651459306</v>
      </c>
      <c r="N6">
        <v>0.568381531515875</v>
      </c>
      <c r="O6">
        <v>0.988275276497864</v>
      </c>
      <c r="P6">
        <v>0.77832840400687</v>
      </c>
    </row>
    <row r="7" spans="1:16">
      <c r="A7" t="s">
        <v>27</v>
      </c>
      <c r="B7" t="s">
        <v>28</v>
      </c>
      <c r="C7" t="s">
        <v>18</v>
      </c>
      <c r="D7">
        <v>805</v>
      </c>
      <c r="E7">
        <v>1057</v>
      </c>
      <c r="F7">
        <v>0.890801095655733</v>
      </c>
      <c r="G7">
        <v>0.74077578051088</v>
      </c>
      <c r="H7">
        <v>0.815060281541414</v>
      </c>
      <c r="I7">
        <v>0.646035916576578</v>
      </c>
      <c r="J7">
        <v>0.779980503544867</v>
      </c>
      <c r="K7">
        <v>0.647299119183579</v>
      </c>
      <c r="L7">
        <v>0.629106549670027</v>
      </c>
      <c r="M7">
        <v>0.195217639726121</v>
      </c>
      <c r="N7">
        <v>0.550698639736561</v>
      </c>
      <c r="O7">
        <v>0.987304373214744</v>
      </c>
      <c r="P7">
        <v>0.769001506475652</v>
      </c>
    </row>
    <row r="8" spans="1:16">
      <c r="A8" t="s">
        <v>29</v>
      </c>
      <c r="B8" t="s">
        <v>30</v>
      </c>
      <c r="C8" t="s">
        <v>18</v>
      </c>
      <c r="D8">
        <v>805</v>
      </c>
      <c r="E8">
        <v>1057</v>
      </c>
      <c r="F8">
        <v>0.861828395956098</v>
      </c>
      <c r="G8">
        <v>0.773033575355109</v>
      </c>
      <c r="H8">
        <v>0.831304013436689</v>
      </c>
      <c r="I8">
        <v>0.671846565845802</v>
      </c>
      <c r="J8">
        <v>0.760572869328506</v>
      </c>
      <c r="K8">
        <v>0.682210491154541</v>
      </c>
      <c r="L8">
        <v>0.649004353962324</v>
      </c>
      <c r="M8">
        <v>0.202479959871956</v>
      </c>
      <c r="N8">
        <v>0.578262152888321</v>
      </c>
      <c r="O8">
        <v>0.988761241920014</v>
      </c>
      <c r="P8">
        <v>0.783511697404167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9"/>
  <sheetViews>
    <sheetView tabSelected="1" workbookViewId="0">
      <pane xSplit="1" topLeftCell="B1" activePane="topRight" state="frozen"/>
      <selection/>
      <selection pane="topRight" activeCell="N12" sqref="N12"/>
    </sheetView>
  </sheetViews>
  <sheetFormatPr defaultColWidth="9" defaultRowHeight="13.5"/>
  <cols>
    <col min="1" max="1" width="68.625" customWidth="1"/>
    <col min="2" max="7" width="16.625" customWidth="1"/>
    <col min="8" max="8" width="6" customWidth="1"/>
    <col min="9" max="9" width="5.375" customWidth="1"/>
    <col min="10" max="12" width="16.625" customWidth="1"/>
    <col min="13" max="13" width="17.5" customWidth="1"/>
    <col min="14" max="14" width="22.875" customWidth="1"/>
    <col min="15" max="15" width="11.875" customWidth="1"/>
    <col min="16" max="16" width="18" customWidth="1"/>
  </cols>
  <sheetData>
    <row r="1" s="1" customFormat="1" spans="1:19">
      <c r="A1" s="2" t="s">
        <v>0</v>
      </c>
      <c r="B1" s="2" t="s">
        <v>3</v>
      </c>
      <c r="C1" s="2" t="s">
        <v>4</v>
      </c>
      <c r="D1" s="2" t="s">
        <v>31</v>
      </c>
      <c r="E1" s="2" t="s">
        <v>32</v>
      </c>
      <c r="F1" s="2" t="s">
        <v>33</v>
      </c>
      <c r="G1" s="2" t="s">
        <v>34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35</v>
      </c>
      <c r="Q1" s="2" t="s">
        <v>13</v>
      </c>
      <c r="R1" s="2" t="s">
        <v>14</v>
      </c>
      <c r="S1" s="2" t="s">
        <v>15</v>
      </c>
    </row>
    <row r="2" s="1" customFormat="1" spans="1:19">
      <c r="A2" s="1" t="s">
        <v>36</v>
      </c>
      <c r="B2" s="1">
        <v>807</v>
      </c>
      <c r="C2" s="1">
        <v>1037</v>
      </c>
      <c r="D2" s="1">
        <v>4833091</v>
      </c>
      <c r="E2" s="1">
        <v>14.216</v>
      </c>
      <c r="F2" s="1">
        <v>2.997</v>
      </c>
      <c r="G2" s="1">
        <v>333.721</v>
      </c>
      <c r="H2" s="1">
        <v>0.859833369019754</v>
      </c>
      <c r="I2" s="1">
        <v>0.775313404050145</v>
      </c>
      <c r="J2" s="1">
        <v>0.814654063651444</v>
      </c>
      <c r="K2" s="1">
        <v>0.667250847977183</v>
      </c>
      <c r="L2" s="1">
        <v>0.759540405852455</v>
      </c>
      <c r="M2" s="1">
        <v>0.68466730954677</v>
      </c>
      <c r="N2" s="1">
        <v>0.651423137474889</v>
      </c>
      <c r="O2" s="1">
        <v>0.215855468472346</v>
      </c>
      <c r="P2" s="1">
        <f>2*L2*M2/(L2+M2)</f>
        <v>0.720163007886034</v>
      </c>
      <c r="Q2" s="1">
        <v>0.600173316109409</v>
      </c>
      <c r="R2" s="1">
        <v>0.988962465410905</v>
      </c>
      <c r="S2" s="1">
        <v>0.794567890760157</v>
      </c>
    </row>
    <row r="3" s="1" customFormat="1" spans="1:19">
      <c r="A3" s="1" t="s">
        <v>37</v>
      </c>
      <c r="B3" s="1">
        <v>807</v>
      </c>
      <c r="C3" s="1">
        <v>1037</v>
      </c>
      <c r="D3" s="1">
        <v>4686659</v>
      </c>
      <c r="E3" s="1">
        <v>14.098</v>
      </c>
      <c r="F3" s="1">
        <v>2.859</v>
      </c>
      <c r="G3" s="1">
        <v>349.727</v>
      </c>
      <c r="H3" s="1">
        <v>0.873522958428723</v>
      </c>
      <c r="I3" s="1">
        <v>0.762777242044359</v>
      </c>
      <c r="J3" s="1">
        <v>0.810884102421513</v>
      </c>
      <c r="K3" s="1">
        <v>0.663841865219206</v>
      </c>
      <c r="L3" s="1">
        <v>0.777945482041854</v>
      </c>
      <c r="M3" s="1">
        <v>0.665544530557977</v>
      </c>
      <c r="N3" s="1">
        <v>0.637592699815494</v>
      </c>
      <c r="O3" s="1">
        <v>0.214409477091684</v>
      </c>
      <c r="P3" s="1">
        <f t="shared" ref="P3:P9" si="0">2*L3*M3/(L3+M3)</f>
        <v>0.717368816030429</v>
      </c>
      <c r="Q3" s="1">
        <v>0.599009458791157</v>
      </c>
      <c r="R3" s="1">
        <v>0.988777714938965</v>
      </c>
      <c r="S3" s="1">
        <v>0.793893586865061</v>
      </c>
    </row>
    <row r="4" s="1" customFormat="1" spans="1:19">
      <c r="A4" s="1" t="s">
        <v>38</v>
      </c>
      <c r="B4" s="1">
        <v>807</v>
      </c>
      <c r="C4" s="1">
        <v>1037</v>
      </c>
      <c r="D4" s="1">
        <v>4902211</v>
      </c>
      <c r="E4" s="1">
        <v>15.631</v>
      </c>
      <c r="F4" s="1">
        <v>3.227</v>
      </c>
      <c r="G4" s="1">
        <v>309.925</v>
      </c>
      <c r="H4" s="1">
        <v>0.856043173140571</v>
      </c>
      <c r="I4" s="1">
        <v>0.765670202507232</v>
      </c>
      <c r="J4" s="1">
        <v>0.804800548007452</v>
      </c>
      <c r="K4" s="1">
        <v>0.659639714264483</v>
      </c>
      <c r="L4" s="1">
        <v>0.750278891301452</v>
      </c>
      <c r="M4" s="1">
        <v>0.671166827386692</v>
      </c>
      <c r="N4" s="1">
        <v>0.622471042300983</v>
      </c>
      <c r="O4" s="1">
        <v>0.213972031514116</v>
      </c>
      <c r="P4" s="1">
        <f t="shared" si="0"/>
        <v>0.708521326575508</v>
      </c>
      <c r="Q4" s="1">
        <v>0.583245151534581</v>
      </c>
      <c r="R4" s="1">
        <v>0.987866383860013</v>
      </c>
      <c r="S4" s="1">
        <v>0.785555767697297</v>
      </c>
    </row>
    <row r="5" s="1" customFormat="1" spans="1:19">
      <c r="A5" s="1" t="s">
        <v>39</v>
      </c>
      <c r="B5" s="1">
        <v>807</v>
      </c>
      <c r="C5" s="1">
        <v>1037</v>
      </c>
      <c r="D5" s="1">
        <v>4755779</v>
      </c>
      <c r="E5" s="1">
        <v>15.514</v>
      </c>
      <c r="F5" s="1">
        <v>2.994</v>
      </c>
      <c r="G5" s="1">
        <v>333.98</v>
      </c>
      <c r="H5" s="1">
        <v>0.878117043874803</v>
      </c>
      <c r="I5" s="1">
        <v>0.74338622811905</v>
      </c>
      <c r="J5" s="1">
        <v>0.803545723205355</v>
      </c>
      <c r="K5" s="1">
        <v>0.664359978566683</v>
      </c>
      <c r="L5" s="1">
        <v>0.794320850435123</v>
      </c>
      <c r="M5" s="1">
        <v>0.674070810536888</v>
      </c>
      <c r="N5" s="1">
        <v>0.665863166388633</v>
      </c>
      <c r="O5" s="1">
        <v>0.220789015995696</v>
      </c>
      <c r="P5" s="1">
        <f t="shared" si="0"/>
        <v>0.729272051469869</v>
      </c>
      <c r="Q5" s="1">
        <v>0.58999257947436</v>
      </c>
      <c r="R5" s="1">
        <v>0.988257818927308</v>
      </c>
      <c r="S5" s="1">
        <v>0.789125199200834</v>
      </c>
    </row>
    <row r="6" s="1" customFormat="1" spans="1:19">
      <c r="A6" s="1" t="s">
        <v>40</v>
      </c>
      <c r="B6" s="1">
        <v>807</v>
      </c>
      <c r="C6" s="1">
        <v>1037</v>
      </c>
      <c r="D6" s="1">
        <v>3479363</v>
      </c>
      <c r="E6" s="1">
        <v>13.013</v>
      </c>
      <c r="F6" s="1">
        <v>2.754</v>
      </c>
      <c r="G6" s="1">
        <v>363.107</v>
      </c>
      <c r="H6" s="1">
        <v>0.870482312677567</v>
      </c>
      <c r="I6" s="1">
        <v>0.77145612343298</v>
      </c>
      <c r="J6" s="1">
        <v>0.821645510502932</v>
      </c>
      <c r="K6" s="1">
        <v>0.666927326214195</v>
      </c>
      <c r="L6" s="1">
        <v>0.788776141621436</v>
      </c>
      <c r="M6" s="1">
        <v>0.662597715374513</v>
      </c>
      <c r="N6" s="1">
        <v>0.639551477945235</v>
      </c>
      <c r="O6" s="1">
        <v>0.219859492358836</v>
      </c>
      <c r="P6" s="1">
        <f t="shared" si="0"/>
        <v>0.720202126917249</v>
      </c>
      <c r="Q6" s="1">
        <v>0.581212389198109</v>
      </c>
      <c r="R6" s="1">
        <v>0.988208767668024</v>
      </c>
      <c r="S6" s="1">
        <v>0.784710578433067</v>
      </c>
    </row>
    <row r="7" s="1" customFormat="1" spans="1:19">
      <c r="A7" s="1" t="s">
        <v>41</v>
      </c>
      <c r="B7" s="1">
        <v>807</v>
      </c>
      <c r="C7" s="1">
        <v>1037</v>
      </c>
      <c r="D7" s="1">
        <v>3332931</v>
      </c>
      <c r="E7" s="1">
        <v>12.896</v>
      </c>
      <c r="F7" s="1">
        <v>2.66</v>
      </c>
      <c r="G7" s="1">
        <v>375.923</v>
      </c>
      <c r="H7" s="1">
        <v>0.874134380272065</v>
      </c>
      <c r="I7" s="1">
        <v>0.758919961427194</v>
      </c>
      <c r="J7" s="1">
        <v>0.796425021729281</v>
      </c>
      <c r="K7" s="1">
        <v>0.638017680203957</v>
      </c>
      <c r="L7" s="1">
        <v>0.757974395468684</v>
      </c>
      <c r="M7" s="1">
        <v>0.675024108003857</v>
      </c>
      <c r="N7" s="1">
        <v>0.622523641765483</v>
      </c>
      <c r="O7" s="1">
        <v>0.209090714203734</v>
      </c>
      <c r="P7" s="1">
        <f t="shared" si="0"/>
        <v>0.714098429204418</v>
      </c>
      <c r="Q7" s="1">
        <v>0.578136824223455</v>
      </c>
      <c r="R7" s="1">
        <v>0.988009076720904</v>
      </c>
      <c r="S7" s="1">
        <v>0.783072950472179</v>
      </c>
    </row>
    <row r="8" s="1" customFormat="1" spans="1:19">
      <c r="A8" s="1" t="s">
        <v>42</v>
      </c>
      <c r="B8" s="1">
        <v>807</v>
      </c>
      <c r="C8" s="1">
        <v>1037</v>
      </c>
      <c r="D8" s="1">
        <v>3410243</v>
      </c>
      <c r="E8" s="1">
        <v>11.598</v>
      </c>
      <c r="F8" s="1">
        <v>2.569</v>
      </c>
      <c r="G8" s="1">
        <v>389.241</v>
      </c>
      <c r="H8" s="1">
        <v>0.856608169851733</v>
      </c>
      <c r="I8" s="1">
        <v>0.766180043386954</v>
      </c>
      <c r="J8" s="1">
        <v>0.802339574999717</v>
      </c>
      <c r="K8" s="1">
        <v>0.652392995200459</v>
      </c>
      <c r="L8" s="1">
        <v>0.743354882411769</v>
      </c>
      <c r="M8" s="1">
        <v>0.66923818707811</v>
      </c>
      <c r="N8" s="1">
        <v>0.633231121578608</v>
      </c>
      <c r="O8" s="1">
        <v>0.213069834874888</v>
      </c>
      <c r="P8" s="1">
        <f t="shared" si="0"/>
        <v>0.704352137364749</v>
      </c>
      <c r="Q8" s="1">
        <v>0.58676078908272</v>
      </c>
      <c r="R8" s="1">
        <v>0.988352875973977</v>
      </c>
      <c r="S8" s="1">
        <v>0.787556832528349</v>
      </c>
    </row>
    <row r="9" s="1" customFormat="1" spans="1:19">
      <c r="A9" s="1" t="s">
        <v>43</v>
      </c>
      <c r="B9" s="1">
        <v>807</v>
      </c>
      <c r="C9" s="1">
        <v>1037</v>
      </c>
      <c r="D9" s="1">
        <v>3263811</v>
      </c>
      <c r="E9" s="1">
        <v>11.48</v>
      </c>
      <c r="F9" s="1">
        <v>2.486</v>
      </c>
      <c r="G9" s="1">
        <v>402.253</v>
      </c>
      <c r="H9" s="1">
        <v>0.873948622389814</v>
      </c>
      <c r="I9" s="1">
        <v>0.755062680810029</v>
      </c>
      <c r="J9" s="1">
        <v>0.787570118491865</v>
      </c>
      <c r="K9" s="1">
        <v>0.621722463931666</v>
      </c>
      <c r="L9" s="1">
        <v>0.748155740508445</v>
      </c>
      <c r="M9" s="1">
        <v>0.673207787214961</v>
      </c>
      <c r="N9" s="1">
        <v>0.618169939911122</v>
      </c>
      <c r="O9" s="1">
        <v>0.207475389423087</v>
      </c>
      <c r="P9" s="1">
        <f t="shared" si="0"/>
        <v>0.708705775455739</v>
      </c>
      <c r="Q9" s="1">
        <v>0.600544405583666</v>
      </c>
      <c r="R9" s="1">
        <v>0.988870288307323</v>
      </c>
      <c r="S9" s="1">
        <v>0.794707346945495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resultsval</vt:lpstr>
      <vt:lpstr>resulttest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不再见</cp:lastModifiedBy>
  <dcterms:created xsi:type="dcterms:W3CDTF">2026-03-17T07:05:00Z</dcterms:created>
  <dcterms:modified xsi:type="dcterms:W3CDTF">2026-03-19T01:29:32Z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FD23CC84BDA447A69B64D9D7BE564089_12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