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resultsval" sheetId="1" r:id="rId1"/>
    <sheet name="resultt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<sst xmlns="http://schemas.openxmlformats.org/spreadsheetml/2006/main" count="171" uniqueCount="71">
  <si>
    <t>name</t>
  </si>
  <si>
    <t>weight_path</t>
  </si>
  <si>
    <t>Class</t>
  </si>
  <si>
    <t>Images</t>
  </si>
  <si>
    <t>Instances</t>
  </si>
  <si>
    <t>Box(P)</t>
  </si>
  <si>
    <t>Box(R)</t>
  </si>
  <si>
    <t>Box(mAP50)</t>
  </si>
  <si>
    <t>Box(mAP50-95)</t>
  </si>
  <si>
    <t>Mask(P)</t>
  </si>
  <si>
    <t>Mask(R)</t>
  </si>
  <si>
    <t>Mask(mAP50)</t>
  </si>
  <si>
    <t>Mask(mAP50-95)</t>
  </si>
  <si>
    <t>IoU_fg</t>
  </si>
  <si>
    <t>IoU_bg</t>
  </si>
  <si>
    <t>mIoU</t>
  </si>
  <si>
    <t>baseline_paper</t>
  </si>
  <si>
    <t>D:\yolov8-0301\ultralytics-main\runs\segment\0314_paper\baseline_paper\weights\best.pt</t>
  </si>
  <si>
    <t>all</t>
  </si>
  <si>
    <t>yolov8-seg-mdka-sadilation-sppf-replk-full</t>
  </si>
  <si>
    <t>D:\yolov8-0301\ultralytics-main\runs\segment\0314_paper\yolov8-seg-mdka-sadilation-sppf-replk-full\weights\best.pt</t>
  </si>
  <si>
    <t>yolov8-seg-mdka-sadilation</t>
  </si>
  <si>
    <t>D:\yolov8-0301\ultralytics-main\runs\segment\0314_paper\yolov8-seg-mdka-sadilation\weights\best.pt</t>
  </si>
  <si>
    <t>yolov8-seg-spd13-mdka-sadilation-sppf-replk-full</t>
  </si>
  <si>
    <t>D:\yolov8-0301\ultralytics-main\runs\segment\0314_paper\yolov8-seg-spd13-mdka-sadilation-sppf-replk-full\weights\best.pt</t>
  </si>
  <si>
    <t>yolov8-seg-spd13-sppf-replk-full</t>
  </si>
  <si>
    <t>D:\yolov8-0301\ultralytics-main\runs\segment\0314_paper\yolov8-seg-spd13-sppf-replk-full\weights\best.pt</t>
  </si>
  <si>
    <t>yolov8-seg-spd13</t>
  </si>
  <si>
    <t>D:\yolov8-0301\ultralytics-main\runs\segment\0314_paper\yolov8-seg-spd13\weights\best.pt</t>
  </si>
  <si>
    <t>yolov8-seg-sppf-replk-full</t>
  </si>
  <si>
    <t>D:\yolov8-0301\ultralytics-main\runs\segment\0314_paper\yolov8-seg-sppf-replk-full\weights\best.pt</t>
  </si>
  <si>
    <t>parameters</t>
  </si>
  <si>
    <t>GFLOPs</t>
  </si>
  <si>
    <t>inference_ms</t>
  </si>
  <si>
    <t>FPS</t>
  </si>
  <si>
    <t>F1score</t>
  </si>
  <si>
    <t>yolov8-seg-mdka-sadilation-sppf-replk-full_seed43</t>
  </si>
  <si>
    <t>yolov8-seg-mdka-sadilation_seed43</t>
  </si>
  <si>
    <t>yolov8-seg-spd13-mdka-sadilation-sppf-replk-full_seed43</t>
  </si>
  <si>
    <t>yolov8-seg-spd13-mdka-sadilation_seed43</t>
  </si>
  <si>
    <t>yolov8-seg-spd13-sppf-replk-full_seed43</t>
  </si>
  <si>
    <t>yolov8-seg-spd13_seed43</t>
  </si>
  <si>
    <t>yolov8-seg-sppf-replk-full_seed43</t>
  </si>
  <si>
    <t>yolov8-seg_seed43</t>
  </si>
  <si>
    <t>yolov8-seg_bce_dice</t>
  </si>
  <si>
    <t>yolov8-seg_bce_tversky</t>
  </si>
  <si>
    <t>yolov8-seg-mdka-sadilation-sppf-replk-full_bce_dice</t>
  </si>
  <si>
    <t>yolov8-seg-mdka-sadilation-sppf-replk-full_bce_dice_boundary</t>
  </si>
  <si>
    <t>yolov8-seg-mdka-sadilation-sppf-replk-full_bce_tversky</t>
  </si>
  <si>
    <t>yolov8-seg-mdka-sadilation_seed44</t>
  </si>
  <si>
    <t>yolov8-seg_seed44</t>
  </si>
  <si>
    <t>yolov8-seg-mdka-sadilation-sppf-replk-full_seed44</t>
  </si>
  <si>
    <t>yolov8-seg-sppf-replk-full_seed44</t>
  </si>
  <si>
    <t>20260326 results 使用A800训练,bs64,lr0.01,close-mosaic2</t>
  </si>
  <si>
    <t>yolov8-seg-mdka-sadilation-sppf-replk-full_seed42</t>
  </si>
  <si>
    <t>yolov8-seg-mdka-sadilation_seed42</t>
  </si>
  <si>
    <t>yolov8-seg-sppf-replk-full_seed42</t>
  </si>
  <si>
    <t>yolov8-seg_seed42</t>
  </si>
  <si>
    <t>yolov8-seg_seed</t>
  </si>
  <si>
    <t>yolov8-seg-sppf-replk-full_seed</t>
  </si>
  <si>
    <t>yolov8-seg-mdka-sadilation_seed</t>
  </si>
  <si>
    <t>yolov8-seg-mdka-sadilation-sppf-replk-full_seed</t>
  </si>
  <si>
    <t>yolo11-seg2</t>
  </si>
  <si>
    <t>adamw,0406使用5060训练，close-mosaic10,lr0.002,momtenum0.9,bs8</t>
  </si>
  <si>
    <t>adamw,0406使用5060训练，close-mosaic10,lr0.002,momtenum0.9,bs8,val,test无重复</t>
  </si>
  <si>
    <t>SGD,0406使用5060训练，close-mosaic10,lr0.01,momtenum0.937,bs8,val,test无重复</t>
  </si>
  <si>
    <t>0418使用A800训练，调整后的paper数据集，bs=16</t>
  </si>
  <si>
    <t>yolov8-seg_seed424</t>
  </si>
  <si>
    <t>yolov8m-seg_seed422</t>
  </si>
  <si>
    <t>SGD,0421使用5060训练，close-mosaic10,lr0.01,momtenum0.937,bs8,val,test无重复</t>
  </si>
  <si>
    <t>yolov8n-seg-mdka-sadilation-sppf-replk-full_seed42(bce_tversky)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</si>
</sst>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12" applyNumberFormat="0" applyAlignment="0" applyProtection="0">
      <alignment vertical="center"/>
    </xf>
    <xf numFmtId="0" fontId="12" fillId="11" borderId="13" applyNumberFormat="0" applyAlignment="0" applyProtection="0">
      <alignment vertical="center"/>
    </xf>
    <xf numFmtId="0" fontId="13" fillId="11" borderId="12" applyNumberFormat="0" applyAlignment="0" applyProtection="0">
      <alignment vertical="center"/>
    </xf>
    <xf numFmtId="0" fontId="14" fillId="12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Font="1" applyFill="1" applyAlignment="1"/>
    <xf numFmtId="0" fontId="0" fillId="2" borderId="0" xfId="0" applyFont="1" applyFill="1" applyAlignment="1"/>
    <xf numFmtId="0" fontId="0" fillId="3" borderId="0" xfId="0" applyFont="1" applyFill="1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Border="1"/>
    <xf numFmtId="0" fontId="1" fillId="0" borderId="0" xfId="0" applyFont="1" applyFill="1" applyAlignment="1"/>
    <xf numFmtId="0" fontId="0" fillId="3" borderId="5" xfId="0" applyFill="1" applyBorder="1"/>
    <xf numFmtId="0" fontId="2" fillId="0" borderId="6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0" fillId="3" borderId="5" xfId="0" applyFont="1" applyFill="1" applyBorder="1" applyAlignment="1"/>
    <xf numFmtId="0" fontId="0" fillId="4" borderId="5" xfId="0" applyFill="1" applyBorder="1"/>
    <xf numFmtId="0" fontId="0" fillId="4" borderId="5" xfId="0" applyFont="1" applyFill="1" applyBorder="1" applyAlignment="1"/>
    <xf numFmtId="0" fontId="0" fillId="5" borderId="0" xfId="0" applyFont="1" applyFill="1" applyAlignment="1"/>
    <xf numFmtId="0" fontId="0" fillId="4" borderId="5" xfId="0" applyFill="1" applyBorder="1"/>
    <xf numFmtId="0" fontId="0" fillId="6" borderId="2" xfId="0" applyFill="1" applyBorder="1"/>
    <xf numFmtId="0" fontId="0" fillId="6" borderId="5" xfId="0" applyFont="1" applyFill="1" applyBorder="1" applyAlignment="1"/>
    <xf numFmtId="0" fontId="0" fillId="6" borderId="5" xfId="0" applyFill="1" applyBorder="1"/>
    <xf numFmtId="0" fontId="0" fillId="6" borderId="1" xfId="0" applyFont="1" applyFill="1" applyBorder="1" applyAlignment="1"/>
    <xf numFmtId="0" fontId="0" fillId="3" borderId="1" xfId="0" applyFill="1" applyBorder="1"/>
    <xf numFmtId="0" fontId="0" fillId="7" borderId="7" xfId="0" applyFill="1" applyBorder="1"/>
    <xf numFmtId="0" fontId="0" fillId="3" borderId="7" xfId="0" applyFill="1" applyBorder="1"/>
    <xf numFmtId="0" fontId="2" fillId="7" borderId="6" xfId="0" applyFont="1" applyFill="1" applyBorder="1" applyAlignment="1">
      <alignment horizontal="center" vertical="top"/>
    </xf>
    <xf numFmtId="0" fontId="0" fillId="7" borderId="5" xfId="0" applyFont="1" applyFill="1" applyBorder="1" applyAlignment="1"/>
    <xf numFmtId="0" fontId="0" fillId="7" borderId="5" xfId="0" applyFill="1" applyBorder="1"/>
    <xf numFmtId="0" fontId="0" fillId="7" borderId="8" xfId="0" applyFont="1" applyFill="1" applyBorder="1" applyAlignment="1"/>
    <xf numFmtId="0" fontId="0" fillId="3" borderId="8" xfId="0" applyFill="1" applyBorder="1"/>
    <xf numFmtId="0" fontId="0" fillId="3" borderId="0" xfId="0" applyFill="1" applyBorder="1"/>
    <xf numFmtId="0" fontId="0" fillId="8" borderId="7" xfId="0" applyFill="1" applyBorder="1"/>
    <xf numFmtId="0" fontId="1" fillId="8" borderId="5" xfId="0" applyFont="1" applyFill="1" applyBorder="1" applyAlignment="1"/>
    <xf numFmtId="0" fontId="0" fillId="8" borderId="5" xfId="0" applyFill="1" applyBorder="1"/>
    <xf numFmtId="0" fontId="0" fillId="8" borderId="5" xfId="0" applyFont="1" applyFill="1" applyBorder="1" applyAlignment="1"/>
    <xf numFmtId="0" fontId="0" fillId="8" borderId="8" xfId="0" applyFont="1" applyFill="1" applyBorder="1" applyAlignment="1"/>
    <xf numFmtId="0" fontId="0" fillId="3" borderId="2" xfId="0" applyFill="1" applyBorder="1"/>
    <xf numFmtId="0" fontId="2" fillId="0" borderId="6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workbookViewId="0">
      <selection activeCell="L2" sqref="L2"/>
    </sheetView>
  </sheetViews>
  <sheetFormatPr defaultColWidth="9" defaultRowHeight="13.5" outlineLevelRow="7"/>
  <cols>
    <col min="1" max="1" width="58.125" customWidth="1"/>
    <col min="12" max="12" width="23.5" customWidth="1"/>
    <col min="13" max="13" width="20.5" customWidth="1"/>
    <col min="16" max="16" width="29.375" customWidth="1"/>
  </cols>
  <sheetData>
    <row r="1" spans="1:16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</row>
    <row r="2" spans="1:16">
      <c r="A2" t="s">
        <v>16</v>
      </c>
      <c r="B2" t="s">
        <v>17</v>
      </c>
      <c r="C2" t="s">
        <v>18</v>
      </c>
      <c r="D2">
        <v>805</v>
      </c>
      <c r="E2">
        <v>1057</v>
      </c>
      <c r="F2">
        <v>0.849246041901464</v>
      </c>
      <c r="G2">
        <v>0.763481551561022</v>
      </c>
      <c r="H2">
        <v>0.817164972662887</v>
      </c>
      <c r="I2">
        <v>0.644050444938936</v>
      </c>
      <c r="J2">
        <v>0.784110653259116</v>
      </c>
      <c r="K2">
        <v>0.663175509650389</v>
      </c>
      <c r="L2">
        <v>0.644000791183443</v>
      </c>
      <c r="M2">
        <v>0.204836974427965</v>
      </c>
      <c r="N2">
        <v>0.583656951314134</v>
      </c>
      <c r="O2">
        <v>0.988614193656855</v>
      </c>
      <c r="P2">
        <v>0.786135572485495</v>
      </c>
    </row>
    <row r="3" spans="1:16">
      <c r="A3" t="s">
        <v>19</v>
      </c>
      <c r="B3" t="s">
        <v>20</v>
      </c>
      <c r="C3" t="s">
        <v>18</v>
      </c>
      <c r="D3">
        <v>805</v>
      </c>
      <c r="E3">
        <v>1057</v>
      </c>
      <c r="F3">
        <v>0.868647627733892</v>
      </c>
      <c r="G3">
        <v>0.771996215704825</v>
      </c>
      <c r="H3">
        <v>0.831329313720845</v>
      </c>
      <c r="I3">
        <v>0.681701302694635</v>
      </c>
      <c r="J3">
        <v>0.789611645200485</v>
      </c>
      <c r="K3">
        <v>0.657521286660359</v>
      </c>
      <c r="L3">
        <v>0.634448270664663</v>
      </c>
      <c r="M3">
        <v>0.203475423596057</v>
      </c>
      <c r="N3">
        <v>0.587824858804687</v>
      </c>
      <c r="O3">
        <v>0.989094991234723</v>
      </c>
      <c r="P3">
        <v>0.788459925019705</v>
      </c>
    </row>
    <row r="4" spans="1:16">
      <c r="A4" t="s">
        <v>21</v>
      </c>
      <c r="B4" t="s">
        <v>22</v>
      </c>
      <c r="C4" t="s">
        <v>18</v>
      </c>
      <c r="D4">
        <v>805</v>
      </c>
      <c r="E4">
        <v>1057</v>
      </c>
      <c r="F4">
        <v>0.856669010824657</v>
      </c>
      <c r="G4">
        <v>0.774673352503611</v>
      </c>
      <c r="H4">
        <v>0.832625610068178</v>
      </c>
      <c r="I4">
        <v>0.674607928180795</v>
      </c>
      <c r="J4">
        <v>0.720527189640994</v>
      </c>
      <c r="K4">
        <v>0.675496688741722</v>
      </c>
      <c r="L4">
        <v>0.628280027672225</v>
      </c>
      <c r="M4">
        <v>0.196705184990645</v>
      </c>
      <c r="N4">
        <v>0.571519423045309</v>
      </c>
      <c r="O4">
        <v>0.988314846531559</v>
      </c>
      <c r="P4">
        <v>0.779917134788434</v>
      </c>
    </row>
    <row r="5" spans="1:16">
      <c r="A5" t="s">
        <v>23</v>
      </c>
      <c r="B5" t="s">
        <v>24</v>
      </c>
      <c r="C5" t="s">
        <v>18</v>
      </c>
      <c r="D5">
        <v>805</v>
      </c>
      <c r="E5">
        <v>1057</v>
      </c>
      <c r="F5">
        <v>0.88475938560675</v>
      </c>
      <c r="G5">
        <v>0.757805108798486</v>
      </c>
      <c r="H5">
        <v>0.835804909401983</v>
      </c>
      <c r="I5">
        <v>0.677823823564001</v>
      </c>
      <c r="J5">
        <v>0.77829226080274</v>
      </c>
      <c r="K5">
        <v>0.666035950804163</v>
      </c>
      <c r="L5">
        <v>0.647903027800363</v>
      </c>
      <c r="M5">
        <v>0.203152033668318</v>
      </c>
      <c r="N5">
        <v>0.576352451601136</v>
      </c>
      <c r="O5">
        <v>0.988486098404929</v>
      </c>
      <c r="P5">
        <v>0.782419275003032</v>
      </c>
    </row>
    <row r="6" spans="1:16">
      <c r="A6" t="s">
        <v>25</v>
      </c>
      <c r="B6" t="s">
        <v>26</v>
      </c>
      <c r="C6" t="s">
        <v>18</v>
      </c>
      <c r="D6">
        <v>805</v>
      </c>
      <c r="E6">
        <v>1057</v>
      </c>
      <c r="F6">
        <v>0.867576419584502</v>
      </c>
      <c r="G6">
        <v>0.771050141911069</v>
      </c>
      <c r="H6">
        <v>0.841955498453523</v>
      </c>
      <c r="I6">
        <v>0.673675199959811</v>
      </c>
      <c r="J6">
        <v>0.796416060751708</v>
      </c>
      <c r="K6">
        <v>0.637653736991485</v>
      </c>
      <c r="L6">
        <v>0.651053119131599</v>
      </c>
      <c r="M6">
        <v>0.203735651459306</v>
      </c>
      <c r="N6">
        <v>0.568381531515875</v>
      </c>
      <c r="O6">
        <v>0.988275276497864</v>
      </c>
      <c r="P6">
        <v>0.77832840400687</v>
      </c>
    </row>
    <row r="7" spans="1:16">
      <c r="A7" t="s">
        <v>27</v>
      </c>
      <c r="B7" t="s">
        <v>28</v>
      </c>
      <c r="C7" t="s">
        <v>18</v>
      </c>
      <c r="D7">
        <v>805</v>
      </c>
      <c r="E7">
        <v>1057</v>
      </c>
      <c r="F7">
        <v>0.890801095655733</v>
      </c>
      <c r="G7">
        <v>0.74077578051088</v>
      </c>
      <c r="H7">
        <v>0.815060281541414</v>
      </c>
      <c r="I7">
        <v>0.646035916576578</v>
      </c>
      <c r="J7">
        <v>0.779980503544867</v>
      </c>
      <c r="K7">
        <v>0.647299119183579</v>
      </c>
      <c r="L7">
        <v>0.629106549670027</v>
      </c>
      <c r="M7">
        <v>0.195217639726121</v>
      </c>
      <c r="N7">
        <v>0.550698639736561</v>
      </c>
      <c r="O7">
        <v>0.987304373214744</v>
      </c>
      <c r="P7">
        <v>0.769001506475652</v>
      </c>
    </row>
    <row r="8" spans="1:16">
      <c r="A8" t="s">
        <v>29</v>
      </c>
      <c r="B8" t="s">
        <v>30</v>
      </c>
      <c r="C8" t="s">
        <v>18</v>
      </c>
      <c r="D8">
        <v>805</v>
      </c>
      <c r="E8">
        <v>1057</v>
      </c>
      <c r="F8">
        <v>0.861828395956098</v>
      </c>
      <c r="G8">
        <v>0.773033575355109</v>
      </c>
      <c r="H8">
        <v>0.831304013436689</v>
      </c>
      <c r="I8">
        <v>0.671846565845802</v>
      </c>
      <c r="J8">
        <v>0.760572869328506</v>
      </c>
      <c r="K8">
        <v>0.682210491154541</v>
      </c>
      <c r="L8">
        <v>0.649004353962324</v>
      </c>
      <c r="M8">
        <v>0.202479959871956</v>
      </c>
      <c r="N8">
        <v>0.578262152888321</v>
      </c>
      <c r="O8">
        <v>0.988761241920014</v>
      </c>
      <c r="P8">
        <v>0.783511697404167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5"/>
  <sheetViews>
    <sheetView tabSelected="1" workbookViewId="0">
      <pane ySplit="1" topLeftCell="A89" activePane="bottomLeft" state="frozen"/>
      <selection/>
      <selection pane="bottomLeft" activeCell="R137" sqref="R137"/>
    </sheetView>
  </sheetViews>
  <sheetFormatPr defaultColWidth="9" defaultRowHeight="13.5"/>
  <cols>
    <col min="1" max="1" width="76.5" customWidth="1"/>
    <col min="2" max="7" width="16.625" customWidth="1"/>
    <col min="8" max="8" width="15.25" customWidth="1"/>
    <col min="9" max="9" width="14.625" customWidth="1"/>
    <col min="10" max="12" width="16.625" customWidth="1"/>
    <col min="13" max="13" width="17.5" customWidth="1"/>
    <col min="14" max="14" width="22.875" style="10" customWidth="1"/>
    <col min="15" max="15" width="11.875" customWidth="1"/>
    <col min="16" max="16" width="18" customWidth="1"/>
    <col min="17" max="19" width="12.625"/>
  </cols>
  <sheetData>
    <row r="1" s="1" customFormat="1" spans="1:19">
      <c r="A1" s="11" t="s">
        <v>0</v>
      </c>
      <c r="B1" s="11" t="s">
        <v>3</v>
      </c>
      <c r="C1" s="11" t="s">
        <v>4</v>
      </c>
      <c r="D1" s="11" t="s">
        <v>31</v>
      </c>
      <c r="E1" s="11" t="s">
        <v>32</v>
      </c>
      <c r="F1" s="11" t="s">
        <v>33</v>
      </c>
      <c r="G1" s="11" t="s">
        <v>34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2" t="s">
        <v>11</v>
      </c>
      <c r="O1" s="11" t="s">
        <v>12</v>
      </c>
      <c r="P1" s="11" t="s">
        <v>35</v>
      </c>
      <c r="Q1" s="11" t="s">
        <v>13</v>
      </c>
      <c r="R1" s="11" t="s">
        <v>14</v>
      </c>
      <c r="S1" s="11" t="s">
        <v>15</v>
      </c>
    </row>
    <row r="2" s="1" customFormat="1" spans="1:19">
      <c r="A2" s="1" t="s">
        <v>36</v>
      </c>
      <c r="B2" s="1">
        <v>807</v>
      </c>
      <c r="C2" s="1">
        <v>1037</v>
      </c>
      <c r="D2" s="1">
        <v>4833091</v>
      </c>
      <c r="E2" s="1">
        <v>14.216</v>
      </c>
      <c r="F2" s="1">
        <v>2.997</v>
      </c>
      <c r="G2" s="1">
        <v>333.721</v>
      </c>
      <c r="H2" s="1">
        <v>0.859833369019754</v>
      </c>
      <c r="I2" s="1">
        <v>0.775313404050145</v>
      </c>
      <c r="J2" s="1">
        <v>0.814654063651444</v>
      </c>
      <c r="K2" s="1">
        <v>0.667250847977183</v>
      </c>
      <c r="L2" s="1">
        <v>0.759540405852455</v>
      </c>
      <c r="M2" s="1">
        <v>0.68466730954677</v>
      </c>
      <c r="N2" s="13">
        <v>0.651423137474889</v>
      </c>
      <c r="O2" s="1">
        <v>0.215855468472346</v>
      </c>
      <c r="P2" s="1">
        <f>2*L2*M2/(L2+M2)</f>
        <v>0.720163007886034</v>
      </c>
      <c r="Q2" s="1">
        <v>0.600173316109409</v>
      </c>
      <c r="R2" s="1">
        <v>0.988962465410905</v>
      </c>
      <c r="S2" s="1">
        <v>0.794567890760157</v>
      </c>
    </row>
    <row r="3" s="1" customFormat="1" spans="1:19">
      <c r="A3" s="1" t="s">
        <v>37</v>
      </c>
      <c r="B3" s="1">
        <v>807</v>
      </c>
      <c r="C3" s="1">
        <v>1037</v>
      </c>
      <c r="D3" s="1">
        <v>4686659</v>
      </c>
      <c r="E3" s="1">
        <v>14.098</v>
      </c>
      <c r="F3" s="1">
        <v>2.859</v>
      </c>
      <c r="G3" s="1">
        <v>349.727</v>
      </c>
      <c r="H3" s="1">
        <v>0.873522958428723</v>
      </c>
      <c r="I3" s="1">
        <v>0.762777242044359</v>
      </c>
      <c r="J3" s="1">
        <v>0.810884102421513</v>
      </c>
      <c r="K3" s="1">
        <v>0.663841865219206</v>
      </c>
      <c r="L3" s="1">
        <v>0.777945482041854</v>
      </c>
      <c r="M3" s="1">
        <v>0.665544530557977</v>
      </c>
      <c r="N3" s="13">
        <v>0.637592699815494</v>
      </c>
      <c r="O3" s="1">
        <v>0.214409477091684</v>
      </c>
      <c r="P3" s="1">
        <f t="shared" ref="P3:P14" si="0">2*L3*M3/(L3+M3)</f>
        <v>0.717368816030429</v>
      </c>
      <c r="Q3" s="1">
        <v>0.599009458791157</v>
      </c>
      <c r="R3" s="1">
        <v>0.988777714938965</v>
      </c>
      <c r="S3" s="1">
        <v>0.793893586865061</v>
      </c>
    </row>
    <row r="4" s="1" customFormat="1" spans="1:19">
      <c r="A4" s="1" t="s">
        <v>38</v>
      </c>
      <c r="B4" s="1">
        <v>807</v>
      </c>
      <c r="C4" s="1">
        <v>1037</v>
      </c>
      <c r="D4" s="1">
        <v>4902211</v>
      </c>
      <c r="E4" s="1">
        <v>15.631</v>
      </c>
      <c r="F4" s="1">
        <v>3.227</v>
      </c>
      <c r="G4" s="1">
        <v>309.925</v>
      </c>
      <c r="H4" s="1">
        <v>0.856043173140571</v>
      </c>
      <c r="I4" s="1">
        <v>0.765670202507232</v>
      </c>
      <c r="J4" s="1">
        <v>0.804800548007452</v>
      </c>
      <c r="K4" s="1">
        <v>0.659639714264483</v>
      </c>
      <c r="L4" s="1">
        <v>0.750278891301452</v>
      </c>
      <c r="M4" s="1">
        <v>0.671166827386692</v>
      </c>
      <c r="N4" s="13">
        <v>0.622471042300983</v>
      </c>
      <c r="O4" s="1">
        <v>0.213972031514116</v>
      </c>
      <c r="P4" s="1">
        <f t="shared" si="0"/>
        <v>0.708521326575508</v>
      </c>
      <c r="Q4" s="1">
        <v>0.583245151534581</v>
      </c>
      <c r="R4" s="1">
        <v>0.987866383860013</v>
      </c>
      <c r="S4" s="1">
        <v>0.785555767697297</v>
      </c>
    </row>
    <row r="5" s="1" customFormat="1" spans="1:19">
      <c r="A5" s="1" t="s">
        <v>39</v>
      </c>
      <c r="B5" s="1">
        <v>807</v>
      </c>
      <c r="C5" s="1">
        <v>1037</v>
      </c>
      <c r="D5" s="1">
        <v>4755779</v>
      </c>
      <c r="E5" s="1">
        <v>15.514</v>
      </c>
      <c r="F5" s="1">
        <v>2.994</v>
      </c>
      <c r="G5" s="1">
        <v>333.98</v>
      </c>
      <c r="H5" s="1">
        <v>0.878117043874803</v>
      </c>
      <c r="I5" s="1">
        <v>0.74338622811905</v>
      </c>
      <c r="J5" s="1">
        <v>0.803545723205355</v>
      </c>
      <c r="K5" s="1">
        <v>0.664359978566683</v>
      </c>
      <c r="L5" s="1">
        <v>0.794320850435123</v>
      </c>
      <c r="M5" s="1">
        <v>0.674070810536888</v>
      </c>
      <c r="N5" s="13">
        <v>0.665863166388633</v>
      </c>
      <c r="O5" s="1">
        <v>0.220789015995696</v>
      </c>
      <c r="P5" s="1">
        <f t="shared" si="0"/>
        <v>0.729272051469869</v>
      </c>
      <c r="Q5" s="1">
        <v>0.58999257947436</v>
      </c>
      <c r="R5" s="1">
        <v>0.988257818927308</v>
      </c>
      <c r="S5" s="1">
        <v>0.789125199200834</v>
      </c>
    </row>
    <row r="6" s="1" customFormat="1" spans="1:19">
      <c r="A6" s="1" t="s">
        <v>40</v>
      </c>
      <c r="B6" s="1">
        <v>807</v>
      </c>
      <c r="C6" s="1">
        <v>1037</v>
      </c>
      <c r="D6" s="1">
        <v>3479363</v>
      </c>
      <c r="E6" s="1">
        <v>13.013</v>
      </c>
      <c r="F6" s="1">
        <v>2.754</v>
      </c>
      <c r="G6" s="1">
        <v>363.107</v>
      </c>
      <c r="H6" s="1">
        <v>0.870482312677567</v>
      </c>
      <c r="I6" s="1">
        <v>0.77145612343298</v>
      </c>
      <c r="J6" s="1">
        <v>0.821645510502932</v>
      </c>
      <c r="K6" s="1">
        <v>0.666927326214195</v>
      </c>
      <c r="L6" s="1">
        <v>0.788776141621436</v>
      </c>
      <c r="M6" s="1">
        <v>0.662597715374513</v>
      </c>
      <c r="N6" s="13">
        <v>0.639551477945235</v>
      </c>
      <c r="O6" s="1">
        <v>0.219859492358836</v>
      </c>
      <c r="P6" s="1">
        <f t="shared" si="0"/>
        <v>0.720202126917249</v>
      </c>
      <c r="Q6" s="1">
        <v>0.581212389198109</v>
      </c>
      <c r="R6" s="1">
        <v>0.988208767668024</v>
      </c>
      <c r="S6" s="1">
        <v>0.784710578433067</v>
      </c>
    </row>
    <row r="7" s="1" customFormat="1" spans="1:19">
      <c r="A7" s="1" t="s">
        <v>41</v>
      </c>
      <c r="B7" s="1">
        <v>807</v>
      </c>
      <c r="C7" s="1">
        <v>1037</v>
      </c>
      <c r="D7" s="1">
        <v>3332931</v>
      </c>
      <c r="E7" s="1">
        <v>12.896</v>
      </c>
      <c r="F7" s="1">
        <v>2.66</v>
      </c>
      <c r="G7" s="1">
        <v>375.923</v>
      </c>
      <c r="H7" s="1">
        <v>0.874134380272065</v>
      </c>
      <c r="I7" s="1">
        <v>0.758919961427194</v>
      </c>
      <c r="J7" s="1">
        <v>0.796425021729281</v>
      </c>
      <c r="K7" s="1">
        <v>0.638017680203957</v>
      </c>
      <c r="L7" s="1">
        <v>0.757974395468684</v>
      </c>
      <c r="M7" s="1">
        <v>0.675024108003857</v>
      </c>
      <c r="N7" s="13">
        <v>0.622523641765483</v>
      </c>
      <c r="O7" s="1">
        <v>0.209090714203734</v>
      </c>
      <c r="P7" s="1">
        <f t="shared" si="0"/>
        <v>0.714098429204418</v>
      </c>
      <c r="Q7" s="1">
        <v>0.578136824223455</v>
      </c>
      <c r="R7" s="1">
        <v>0.988009076720904</v>
      </c>
      <c r="S7" s="1">
        <v>0.783072950472179</v>
      </c>
    </row>
    <row r="8" s="1" customFormat="1" spans="1:19">
      <c r="A8" s="1" t="s">
        <v>42</v>
      </c>
      <c r="B8" s="1">
        <v>807</v>
      </c>
      <c r="C8" s="1">
        <v>1037</v>
      </c>
      <c r="D8" s="1">
        <v>3410243</v>
      </c>
      <c r="E8" s="1">
        <v>11.598</v>
      </c>
      <c r="F8" s="1">
        <v>2.569</v>
      </c>
      <c r="G8" s="1">
        <v>389.241</v>
      </c>
      <c r="H8" s="1">
        <v>0.856608169851733</v>
      </c>
      <c r="I8" s="1">
        <v>0.766180043386954</v>
      </c>
      <c r="J8" s="1">
        <v>0.802339574999717</v>
      </c>
      <c r="K8" s="1">
        <v>0.652392995200459</v>
      </c>
      <c r="L8" s="1">
        <v>0.743354882411769</v>
      </c>
      <c r="M8" s="1">
        <v>0.66923818707811</v>
      </c>
      <c r="N8" s="13">
        <v>0.633231121578608</v>
      </c>
      <c r="O8" s="1">
        <v>0.213069834874888</v>
      </c>
      <c r="P8" s="1">
        <f t="shared" si="0"/>
        <v>0.704352137364749</v>
      </c>
      <c r="Q8" s="1">
        <v>0.58676078908272</v>
      </c>
      <c r="R8" s="1">
        <v>0.988352875973977</v>
      </c>
      <c r="S8" s="1">
        <v>0.787556832528349</v>
      </c>
    </row>
    <row r="9" s="2" customFormat="1" spans="1:19">
      <c r="A9" s="2" t="s">
        <v>43</v>
      </c>
      <c r="B9" s="2">
        <v>807</v>
      </c>
      <c r="C9" s="2">
        <v>1037</v>
      </c>
      <c r="D9" s="2">
        <v>3263811</v>
      </c>
      <c r="E9" s="2">
        <v>11.48</v>
      </c>
      <c r="F9" s="2">
        <v>2.486</v>
      </c>
      <c r="G9" s="2">
        <v>402.253</v>
      </c>
      <c r="H9" s="2">
        <v>0.873948622389814</v>
      </c>
      <c r="I9" s="2">
        <v>0.755062680810029</v>
      </c>
      <c r="J9" s="2">
        <v>0.787570118491865</v>
      </c>
      <c r="K9" s="2">
        <v>0.621722463931666</v>
      </c>
      <c r="L9" s="2">
        <v>0.748155740508445</v>
      </c>
      <c r="M9" s="2">
        <v>0.673207787214961</v>
      </c>
      <c r="N9" s="13">
        <v>0.618169939911122</v>
      </c>
      <c r="O9" s="2">
        <v>0.207475389423087</v>
      </c>
      <c r="P9" s="2">
        <f t="shared" si="0"/>
        <v>0.708705775455739</v>
      </c>
      <c r="Q9" s="2">
        <v>0.600544405583666</v>
      </c>
      <c r="R9" s="2">
        <v>0.988870288307323</v>
      </c>
      <c r="S9" s="2">
        <v>0.794707346945495</v>
      </c>
    </row>
    <row r="10" s="1" customFormat="1" ht="18" customHeight="1" spans="1:19">
      <c r="A10" s="1" t="s">
        <v>44</v>
      </c>
      <c r="B10" s="1">
        <v>807</v>
      </c>
      <c r="C10" s="1">
        <v>1037</v>
      </c>
      <c r="D10" s="1">
        <v>3263811</v>
      </c>
      <c r="E10" s="1">
        <v>11.48</v>
      </c>
      <c r="F10" s="1">
        <v>2.561</v>
      </c>
      <c r="G10" s="1">
        <v>390.543</v>
      </c>
      <c r="H10" s="1">
        <v>0.866361283538751</v>
      </c>
      <c r="I10" s="1">
        <v>0.75602700096432</v>
      </c>
      <c r="J10" s="1">
        <v>0.803023266048396</v>
      </c>
      <c r="K10" s="1">
        <v>0.633184549652977</v>
      </c>
      <c r="L10" s="1">
        <v>0.76407222588384</v>
      </c>
      <c r="M10" s="1">
        <v>0.658630665380906</v>
      </c>
      <c r="N10" s="13">
        <v>0.621479147847053</v>
      </c>
      <c r="O10" s="1">
        <v>0.210342093748578</v>
      </c>
      <c r="P10" s="1">
        <f t="shared" si="0"/>
        <v>0.707444121499711</v>
      </c>
      <c r="Q10" s="1">
        <v>0.58924370277565</v>
      </c>
      <c r="R10" s="1">
        <v>0.988364506253692</v>
      </c>
      <c r="S10" s="1">
        <v>0.788804104514671</v>
      </c>
    </row>
    <row r="11" s="1" customFormat="1" spans="1:19">
      <c r="A11" s="1" t="s">
        <v>45</v>
      </c>
      <c r="B11" s="1">
        <v>807</v>
      </c>
      <c r="C11" s="1">
        <v>1037</v>
      </c>
      <c r="D11" s="1">
        <v>3263811</v>
      </c>
      <c r="E11" s="1">
        <v>11.48</v>
      </c>
      <c r="F11" s="1">
        <v>2.495</v>
      </c>
      <c r="G11" s="1">
        <v>400.729</v>
      </c>
      <c r="H11" s="1">
        <v>0.863983500566198</v>
      </c>
      <c r="I11" s="1">
        <v>0.765676143172299</v>
      </c>
      <c r="J11" s="1">
        <v>0.80496935260183</v>
      </c>
      <c r="K11" s="1">
        <v>0.632026114242807</v>
      </c>
      <c r="L11" s="1">
        <v>0.759217771582377</v>
      </c>
      <c r="M11" s="1">
        <v>0.666345226615236</v>
      </c>
      <c r="N11" s="13">
        <v>0.624687451483845</v>
      </c>
      <c r="O11" s="1">
        <v>0.213200459516514</v>
      </c>
      <c r="P11" s="1">
        <f t="shared" si="0"/>
        <v>0.709756269901788</v>
      </c>
      <c r="Q11" s="1">
        <v>0.604849690666724</v>
      </c>
      <c r="R11" s="1">
        <v>0.988987505040914</v>
      </c>
      <c r="S11" s="1">
        <v>0.796918597853819</v>
      </c>
    </row>
    <row r="12" s="1" customFormat="1" spans="1:19">
      <c r="A12" s="1" t="s">
        <v>46</v>
      </c>
      <c r="B12" s="1">
        <v>807</v>
      </c>
      <c r="C12" s="1">
        <v>1037</v>
      </c>
      <c r="D12" s="1">
        <v>4833091</v>
      </c>
      <c r="E12" s="1">
        <v>14.216</v>
      </c>
      <c r="F12" s="1">
        <v>3.027</v>
      </c>
      <c r="G12" s="1">
        <v>330.323</v>
      </c>
      <c r="H12" s="1">
        <v>0.849571296518836</v>
      </c>
      <c r="I12" s="1">
        <v>0.783992285438766</v>
      </c>
      <c r="J12" s="1">
        <v>0.808890551598178</v>
      </c>
      <c r="K12" s="1">
        <v>0.65750773842101</v>
      </c>
      <c r="L12" s="1">
        <v>0.74720796359721</v>
      </c>
      <c r="M12" s="1">
        <v>0.686595949855352</v>
      </c>
      <c r="N12" s="13">
        <v>0.635044435463846</v>
      </c>
      <c r="O12" s="1">
        <v>0.211564344929038</v>
      </c>
      <c r="P12" s="1">
        <f t="shared" si="0"/>
        <v>0.715620813546459</v>
      </c>
      <c r="Q12" s="1">
        <v>0.596428140690664</v>
      </c>
      <c r="R12" s="1">
        <v>0.988647346337848</v>
      </c>
      <c r="S12" s="1">
        <v>0.792537743514256</v>
      </c>
    </row>
    <row r="13" s="1" customFormat="1" spans="1:19">
      <c r="A13" s="1" t="s">
        <v>47</v>
      </c>
      <c r="B13" s="1">
        <v>807</v>
      </c>
      <c r="C13" s="1">
        <v>1037</v>
      </c>
      <c r="D13" s="1">
        <v>4833091</v>
      </c>
      <c r="E13" s="1">
        <v>14.216</v>
      </c>
      <c r="F13" s="1">
        <v>2.926</v>
      </c>
      <c r="G13" s="1">
        <v>341.785</v>
      </c>
      <c r="H13" s="1">
        <v>0.85545996519981</v>
      </c>
      <c r="I13" s="1">
        <v>0.801350048216008</v>
      </c>
      <c r="J13" s="1">
        <v>0.818116299994916</v>
      </c>
      <c r="K13" s="1">
        <v>0.675537377162731</v>
      </c>
      <c r="L13" s="1">
        <v>0.769028905054582</v>
      </c>
      <c r="M13" s="1">
        <v>0.683889571193899</v>
      </c>
      <c r="N13" s="13">
        <v>0.633386060673607</v>
      </c>
      <c r="O13" s="1">
        <v>0.21420126632219</v>
      </c>
      <c r="P13" s="1">
        <f t="shared" si="0"/>
        <v>0.723964705124372</v>
      </c>
      <c r="Q13" s="1">
        <v>0.602626666123083</v>
      </c>
      <c r="R13" s="1">
        <v>0.989123165173702</v>
      </c>
      <c r="S13" s="1">
        <v>0.795874915648392</v>
      </c>
    </row>
    <row r="14" s="3" customFormat="1" spans="1:19">
      <c r="A14" s="3" t="s">
        <v>48</v>
      </c>
      <c r="B14" s="3">
        <v>807</v>
      </c>
      <c r="C14" s="3">
        <v>1037</v>
      </c>
      <c r="D14" s="3">
        <v>4833091</v>
      </c>
      <c r="E14" s="3">
        <v>14.216</v>
      </c>
      <c r="F14" s="3">
        <v>2.911</v>
      </c>
      <c r="G14" s="3">
        <v>343.482</v>
      </c>
      <c r="H14" s="3">
        <v>0.877577348327689</v>
      </c>
      <c r="I14" s="3">
        <v>0.76039228946822</v>
      </c>
      <c r="J14" s="3">
        <v>0.810841195697113</v>
      </c>
      <c r="K14" s="3">
        <v>0.670160284561867</v>
      </c>
      <c r="L14" s="3">
        <v>0.779318886518368</v>
      </c>
      <c r="M14" s="3">
        <v>0.670202507232401</v>
      </c>
      <c r="N14" s="13">
        <v>0.653193429202847</v>
      </c>
      <c r="O14" s="3">
        <v>0.22740991850829</v>
      </c>
      <c r="P14" s="3">
        <f t="shared" si="0"/>
        <v>0.72065369152872</v>
      </c>
      <c r="Q14" s="3">
        <v>0.603750004010774</v>
      </c>
      <c r="R14" s="3">
        <v>0.98897410395426</v>
      </c>
      <c r="S14" s="3">
        <v>0.796362053982517</v>
      </c>
    </row>
    <row r="18" s="1" customFormat="1" spans="1:19">
      <c r="A18" s="1" t="s">
        <v>37</v>
      </c>
      <c r="B18" s="1">
        <v>807</v>
      </c>
      <c r="C18" s="1">
        <v>1037</v>
      </c>
      <c r="D18" s="1">
        <v>4686659</v>
      </c>
      <c r="E18" s="1">
        <v>14.098</v>
      </c>
      <c r="F18" s="1">
        <v>2.928</v>
      </c>
      <c r="G18" s="1">
        <v>341.497</v>
      </c>
      <c r="H18" s="1">
        <v>0.873522958428723</v>
      </c>
      <c r="I18" s="1">
        <v>0.762777242044359</v>
      </c>
      <c r="J18" s="1">
        <v>0.810884102421513</v>
      </c>
      <c r="K18" s="1">
        <v>0.663841865219206</v>
      </c>
      <c r="L18" s="1">
        <v>0.777945482041854</v>
      </c>
      <c r="M18" s="1">
        <v>0.665544530557977</v>
      </c>
      <c r="N18" s="13">
        <v>0.637592699815494</v>
      </c>
      <c r="O18" s="1">
        <v>0.214409477091684</v>
      </c>
      <c r="Q18" s="1">
        <v>0.599009458791157</v>
      </c>
      <c r="R18" s="1">
        <v>0.988777714938965</v>
      </c>
      <c r="S18" s="1">
        <v>0.793893586865061</v>
      </c>
    </row>
    <row r="19" s="1" customFormat="1" spans="1:19">
      <c r="A19" s="1" t="s">
        <v>49</v>
      </c>
      <c r="B19" s="1">
        <v>807</v>
      </c>
      <c r="C19" s="1">
        <v>1037</v>
      </c>
      <c r="D19" s="1">
        <v>4686659</v>
      </c>
      <c r="E19" s="1">
        <v>14.098</v>
      </c>
      <c r="F19" s="1">
        <v>2.866</v>
      </c>
      <c r="G19" s="1">
        <v>348.918</v>
      </c>
      <c r="H19" s="1">
        <v>0.864119985776643</v>
      </c>
      <c r="I19" s="1">
        <v>0.772699043978139</v>
      </c>
      <c r="J19" s="1">
        <v>0.809510304005359</v>
      </c>
      <c r="K19" s="1">
        <v>0.662721708858114</v>
      </c>
      <c r="L19" s="1">
        <v>0.769369231586665</v>
      </c>
      <c r="M19" s="1">
        <v>0.665900485227492</v>
      </c>
      <c r="N19" s="13">
        <v>0.644577447058483</v>
      </c>
      <c r="O19" s="1">
        <v>0.21617622447265</v>
      </c>
      <c r="Q19" s="1">
        <v>0.591739413229256</v>
      </c>
      <c r="R19" s="1">
        <v>0.988427676527234</v>
      </c>
      <c r="S19" s="1">
        <v>0.790083544878245</v>
      </c>
    </row>
    <row r="20" s="1" customFormat="1" spans="1:19">
      <c r="A20" s="1" t="s">
        <v>43</v>
      </c>
      <c r="B20" s="1">
        <v>807</v>
      </c>
      <c r="C20" s="1">
        <v>1037</v>
      </c>
      <c r="D20" s="1">
        <v>3263811</v>
      </c>
      <c r="E20" s="1">
        <v>11.48</v>
      </c>
      <c r="F20" s="1">
        <v>2.5</v>
      </c>
      <c r="G20" s="1">
        <v>400.064</v>
      </c>
      <c r="H20" s="1">
        <v>0.873948622389814</v>
      </c>
      <c r="I20" s="1">
        <v>0.755062680810029</v>
      </c>
      <c r="J20" s="1">
        <v>0.787570118491865</v>
      </c>
      <c r="K20" s="1">
        <v>0.621722463931666</v>
      </c>
      <c r="L20" s="1">
        <v>0.748155740508445</v>
      </c>
      <c r="M20" s="1">
        <v>0.673207787214961</v>
      </c>
      <c r="N20" s="13">
        <v>0.618169939911122</v>
      </c>
      <c r="O20" s="1">
        <v>0.207475389423087</v>
      </c>
      <c r="Q20" s="1">
        <v>0.600544405583666</v>
      </c>
      <c r="R20" s="1">
        <v>0.988870288307323</v>
      </c>
      <c r="S20" s="1">
        <v>0.794707346945495</v>
      </c>
    </row>
    <row r="21" s="1" customFormat="1" spans="1:19">
      <c r="A21" s="1" t="s">
        <v>50</v>
      </c>
      <c r="B21" s="1">
        <v>807</v>
      </c>
      <c r="C21" s="1">
        <v>1037</v>
      </c>
      <c r="D21" s="1">
        <v>3263811</v>
      </c>
      <c r="E21" s="1">
        <v>11.48</v>
      </c>
      <c r="F21" s="1">
        <v>2.507</v>
      </c>
      <c r="G21" s="1">
        <v>398.853</v>
      </c>
      <c r="H21" s="1">
        <v>0.845508747304019</v>
      </c>
      <c r="I21" s="1">
        <v>0.777242044358727</v>
      </c>
      <c r="J21" s="1">
        <v>0.800848439994742</v>
      </c>
      <c r="K21" s="1">
        <v>0.638899464546249</v>
      </c>
      <c r="L21" s="1">
        <v>0.751135620023252</v>
      </c>
      <c r="M21" s="1">
        <v>0.681774349083896</v>
      </c>
      <c r="N21" s="13">
        <v>0.640269267855377</v>
      </c>
      <c r="O21" s="1">
        <v>0.209591788120871</v>
      </c>
      <c r="Q21" s="1">
        <v>0.598647316670444</v>
      </c>
      <c r="R21" s="1">
        <v>0.988822065731991</v>
      </c>
      <c r="S21" s="1">
        <v>0.793734691201218</v>
      </c>
    </row>
    <row r="23" s="1" customFormat="1" spans="1:19">
      <c r="A23" s="1" t="s">
        <v>36</v>
      </c>
      <c r="B23" s="1">
        <v>807</v>
      </c>
      <c r="C23" s="1">
        <v>1037</v>
      </c>
      <c r="D23" s="1">
        <v>4833091</v>
      </c>
      <c r="E23" s="1">
        <v>14.216</v>
      </c>
      <c r="F23" s="1">
        <v>3.017</v>
      </c>
      <c r="G23" s="1">
        <v>331.454</v>
      </c>
      <c r="H23" s="1">
        <v>0.859833369019754</v>
      </c>
      <c r="I23" s="1">
        <v>0.775313404050145</v>
      </c>
      <c r="J23" s="1">
        <v>0.814654063651444</v>
      </c>
      <c r="K23" s="1">
        <v>0.667250847977183</v>
      </c>
      <c r="L23" s="1">
        <v>0.759540405852455</v>
      </c>
      <c r="M23" s="1">
        <v>0.68466730954677</v>
      </c>
      <c r="N23" s="13">
        <v>0.651423137474889</v>
      </c>
      <c r="O23" s="1">
        <v>0.215855468472346</v>
      </c>
      <c r="Q23" s="1">
        <v>0.600173316109409</v>
      </c>
      <c r="R23" s="1">
        <v>0.988962465410905</v>
      </c>
      <c r="S23" s="1">
        <v>0.794567890760157</v>
      </c>
    </row>
    <row r="24" s="1" customFormat="1" spans="1:19">
      <c r="A24" s="1" t="s">
        <v>51</v>
      </c>
      <c r="B24" s="1">
        <v>807</v>
      </c>
      <c r="C24" s="1">
        <v>1037</v>
      </c>
      <c r="D24" s="1">
        <v>4833091</v>
      </c>
      <c r="E24" s="1">
        <v>14.216</v>
      </c>
      <c r="F24" s="1">
        <v>2.946</v>
      </c>
      <c r="G24" s="1">
        <v>339.472</v>
      </c>
      <c r="H24" s="1">
        <v>0.855426514391092</v>
      </c>
      <c r="I24" s="1">
        <v>0.764575129221365</v>
      </c>
      <c r="J24" s="1">
        <v>0.808872668302654</v>
      </c>
      <c r="K24" s="1">
        <v>0.66798978653411</v>
      </c>
      <c r="L24" s="1">
        <v>0.755088199752074</v>
      </c>
      <c r="M24" s="1">
        <v>0.674893354872281</v>
      </c>
      <c r="N24" s="13">
        <v>0.64994616725935</v>
      </c>
      <c r="O24" s="1">
        <v>0.220276686764214</v>
      </c>
      <c r="Q24" s="1">
        <v>0.61013470676269</v>
      </c>
      <c r="R24" s="1">
        <v>0.989349994161588</v>
      </c>
      <c r="S24" s="1">
        <v>0.799742350462139</v>
      </c>
    </row>
    <row r="25" s="1" customFormat="1" spans="1:19">
      <c r="A25" s="1" t="s">
        <v>42</v>
      </c>
      <c r="B25" s="1">
        <v>807</v>
      </c>
      <c r="C25" s="1">
        <v>1037</v>
      </c>
      <c r="D25" s="1">
        <v>3410243</v>
      </c>
      <c r="E25" s="1">
        <v>11.598</v>
      </c>
      <c r="F25" s="1">
        <v>2.594</v>
      </c>
      <c r="G25" s="1">
        <v>385.5</v>
      </c>
      <c r="H25" s="1">
        <v>0.856608169851733</v>
      </c>
      <c r="I25" s="1">
        <v>0.766180043386954</v>
      </c>
      <c r="J25" s="1">
        <v>0.802339574999717</v>
      </c>
      <c r="K25" s="1">
        <v>0.652392995200459</v>
      </c>
      <c r="L25" s="1">
        <v>0.743354882411769</v>
      </c>
      <c r="M25" s="1">
        <v>0.66923818707811</v>
      </c>
      <c r="N25" s="13">
        <v>0.633231121578608</v>
      </c>
      <c r="O25" s="1">
        <v>0.213069834874888</v>
      </c>
      <c r="Q25" s="1">
        <v>0.58676078908272</v>
      </c>
      <c r="R25" s="1">
        <v>0.988352875973977</v>
      </c>
      <c r="S25" s="1">
        <v>0.787556832528349</v>
      </c>
    </row>
    <row r="26" s="1" customFormat="1" spans="1:19">
      <c r="A26" s="1" t="s">
        <v>52</v>
      </c>
      <c r="B26" s="1">
        <v>807</v>
      </c>
      <c r="C26" s="1">
        <v>1037</v>
      </c>
      <c r="D26" s="1">
        <v>3410243</v>
      </c>
      <c r="E26" s="1">
        <v>11.598</v>
      </c>
      <c r="F26" s="1">
        <v>2.588</v>
      </c>
      <c r="G26" s="1">
        <v>386.328</v>
      </c>
      <c r="H26" s="1">
        <v>0.860987971273654</v>
      </c>
      <c r="I26" s="1">
        <v>0.765670202507232</v>
      </c>
      <c r="J26" s="1">
        <v>0.801333855622765</v>
      </c>
      <c r="K26" s="1">
        <v>0.644698832567461</v>
      </c>
      <c r="L26" s="1">
        <v>0.762675126538718</v>
      </c>
      <c r="M26" s="1">
        <v>0.663180096649523</v>
      </c>
      <c r="N26" s="13">
        <v>0.623208318097763</v>
      </c>
      <c r="O26" s="1">
        <v>0.212259853051665</v>
      </c>
      <c r="Q26" s="1">
        <v>0.599994789733072</v>
      </c>
      <c r="R26" s="1">
        <v>0.989036546688923</v>
      </c>
      <c r="S26" s="1">
        <v>0.794515668210997</v>
      </c>
    </row>
    <row r="32" s="4" customFormat="1" spans="1:19">
      <c r="A32" s="14" t="s">
        <v>53</v>
      </c>
      <c r="N32" s="10"/>
    </row>
    <row r="33" s="1" customFormat="1" spans="1:19">
      <c r="A33" s="15" t="s">
        <v>54</v>
      </c>
      <c r="B33" s="1">
        <v>807</v>
      </c>
      <c r="C33" s="1">
        <v>1037</v>
      </c>
      <c r="D33" s="1">
        <v>4833091</v>
      </c>
      <c r="E33" s="1">
        <v>14.216</v>
      </c>
      <c r="F33" s="1">
        <v>3.07</v>
      </c>
      <c r="G33" s="1">
        <v>325.737</v>
      </c>
      <c r="H33" s="1">
        <v>0.875654559023501</v>
      </c>
      <c r="I33" s="1">
        <v>0.767598842815815</v>
      </c>
      <c r="J33" s="1">
        <v>0.810110888006843</v>
      </c>
      <c r="K33" s="1">
        <v>0.663158205133209</v>
      </c>
      <c r="L33" s="1">
        <v>0.773695562610815</v>
      </c>
      <c r="M33" s="1">
        <v>0.679845708775313</v>
      </c>
      <c r="N33" s="13">
        <v>0.644323247756492</v>
      </c>
      <c r="O33" s="1">
        <v>0.216602763219257</v>
      </c>
      <c r="P33" s="16">
        <f>2*L33*M33/(L33+M33)</f>
        <v>0.723740864458379</v>
      </c>
      <c r="Q33" s="1">
        <v>0.600254537597821</v>
      </c>
      <c r="R33" s="1">
        <v>0.98868220755065</v>
      </c>
      <c r="S33" s="1">
        <v>0.794468372574235</v>
      </c>
    </row>
    <row r="34" s="1" customFormat="1" spans="1:19">
      <c r="A34" s="15" t="s">
        <v>36</v>
      </c>
      <c r="B34" s="1">
        <v>807</v>
      </c>
      <c r="C34" s="1">
        <v>1037</v>
      </c>
      <c r="D34" s="1">
        <v>4833091</v>
      </c>
      <c r="E34" s="1">
        <v>14.216</v>
      </c>
      <c r="F34" s="1">
        <v>2.935</v>
      </c>
      <c r="G34" s="1">
        <v>340.764</v>
      </c>
      <c r="H34" s="1">
        <v>0.859833369019754</v>
      </c>
      <c r="I34" s="1">
        <v>0.775313404050145</v>
      </c>
      <c r="J34" s="1">
        <v>0.814654063651444</v>
      </c>
      <c r="K34" s="1">
        <v>0.667250847977183</v>
      </c>
      <c r="L34" s="1">
        <v>0.759540405852455</v>
      </c>
      <c r="M34" s="1">
        <v>0.68466730954677</v>
      </c>
      <c r="N34" s="13">
        <v>0.651423137474889</v>
      </c>
      <c r="O34" s="1">
        <v>0.215855468472346</v>
      </c>
      <c r="P34" s="16">
        <f t="shared" ref="P34:P44" si="1">2*L34*M34/(L34+M34)</f>
        <v>0.720163007886035</v>
      </c>
      <c r="Q34" s="1">
        <v>0.600173316109409</v>
      </c>
      <c r="R34" s="1">
        <v>0.988962465410905</v>
      </c>
      <c r="S34" s="1">
        <v>0.794567890760157</v>
      </c>
    </row>
    <row r="35" s="1" customFormat="1" spans="1:19">
      <c r="A35" s="15" t="s">
        <v>51</v>
      </c>
      <c r="B35" s="1">
        <v>807</v>
      </c>
      <c r="C35" s="1">
        <v>1037</v>
      </c>
      <c r="D35" s="1">
        <v>4833091</v>
      </c>
      <c r="E35" s="1">
        <v>14.216</v>
      </c>
      <c r="F35" s="1">
        <v>2.974</v>
      </c>
      <c r="G35" s="1">
        <v>336.276</v>
      </c>
      <c r="H35" s="1">
        <v>0.855426514391092</v>
      </c>
      <c r="I35" s="1">
        <v>0.764575129221365</v>
      </c>
      <c r="J35" s="1">
        <v>0.808872668302654</v>
      </c>
      <c r="K35" s="1">
        <v>0.66798978653411</v>
      </c>
      <c r="L35" s="1">
        <v>0.755088199752074</v>
      </c>
      <c r="M35" s="1">
        <v>0.674893354872281</v>
      </c>
      <c r="N35" s="13">
        <v>0.64994616725935</v>
      </c>
      <c r="O35" s="1">
        <v>0.220276686764214</v>
      </c>
      <c r="P35" s="16">
        <f t="shared" si="1"/>
        <v>0.71274207238151</v>
      </c>
      <c r="Q35" s="1">
        <v>0.61013470676269</v>
      </c>
      <c r="R35" s="1">
        <v>0.989349994161588</v>
      </c>
      <c r="S35" s="1">
        <v>0.799742350462139</v>
      </c>
    </row>
    <row r="36" s="1" customFormat="1" spans="1:19">
      <c r="A36" s="15" t="s">
        <v>55</v>
      </c>
      <c r="B36" s="1">
        <v>807</v>
      </c>
      <c r="C36" s="1">
        <v>1037</v>
      </c>
      <c r="D36" s="1">
        <v>4686659</v>
      </c>
      <c r="E36" s="1">
        <v>14.098</v>
      </c>
      <c r="F36" s="1">
        <v>2.822</v>
      </c>
      <c r="G36" s="1">
        <v>354.306</v>
      </c>
      <c r="H36" s="1">
        <v>0.845391572849885</v>
      </c>
      <c r="I36" s="1">
        <v>0.775110152200086</v>
      </c>
      <c r="J36" s="1">
        <v>0.798582602140792</v>
      </c>
      <c r="K36" s="1">
        <v>0.661276216109346</v>
      </c>
      <c r="L36" s="1">
        <v>0.776057274624044</v>
      </c>
      <c r="M36" s="1">
        <v>0.66923818707811</v>
      </c>
      <c r="N36" s="13">
        <v>0.636367376310986</v>
      </c>
      <c r="O36" s="1">
        <v>0.21201137049372</v>
      </c>
      <c r="P36" s="16">
        <f t="shared" si="1"/>
        <v>0.718700331247847</v>
      </c>
      <c r="Q36" s="1">
        <v>0.600287384245704</v>
      </c>
      <c r="R36" s="1">
        <v>0.988798545925256</v>
      </c>
      <c r="S36" s="1">
        <v>0.79454296508548</v>
      </c>
    </row>
    <row r="37" s="1" customFormat="1" spans="1:19">
      <c r="A37" s="15" t="s">
        <v>37</v>
      </c>
      <c r="B37" s="1">
        <v>807</v>
      </c>
      <c r="C37" s="1">
        <v>1037</v>
      </c>
      <c r="D37" s="1">
        <v>4686659</v>
      </c>
      <c r="E37" s="1">
        <v>14.098</v>
      </c>
      <c r="F37" s="1">
        <v>2.891</v>
      </c>
      <c r="G37" s="1">
        <v>345.96</v>
      </c>
      <c r="H37" s="1">
        <v>0.873522958428723</v>
      </c>
      <c r="I37" s="1">
        <v>0.762777242044359</v>
      </c>
      <c r="J37" s="1">
        <v>0.810884102421513</v>
      </c>
      <c r="K37" s="1">
        <v>0.663841865219206</v>
      </c>
      <c r="L37" s="1">
        <v>0.777945482041854</v>
      </c>
      <c r="M37" s="1">
        <v>0.665544530557977</v>
      </c>
      <c r="N37" s="13">
        <v>0.637592699815494</v>
      </c>
      <c r="O37" s="1">
        <v>0.214409477091684</v>
      </c>
      <c r="P37" s="16">
        <f t="shared" si="1"/>
        <v>0.717368816030429</v>
      </c>
      <c r="Q37" s="1">
        <v>0.599009458791157</v>
      </c>
      <c r="R37" s="1">
        <v>0.988777714938965</v>
      </c>
      <c r="S37" s="1">
        <v>0.793893586865061</v>
      </c>
    </row>
    <row r="38" s="1" customFormat="1" spans="1:19">
      <c r="A38" s="15" t="s">
        <v>49</v>
      </c>
      <c r="B38" s="1">
        <v>807</v>
      </c>
      <c r="C38" s="1">
        <v>1037</v>
      </c>
      <c r="D38" s="1">
        <v>4686659</v>
      </c>
      <c r="E38" s="1">
        <v>14.098</v>
      </c>
      <c r="F38" s="1">
        <v>2.866</v>
      </c>
      <c r="G38" s="1">
        <v>348.928</v>
      </c>
      <c r="H38" s="1">
        <v>0.864119985776643</v>
      </c>
      <c r="I38" s="1">
        <v>0.772699043978139</v>
      </c>
      <c r="J38" s="1">
        <v>0.809510304005359</v>
      </c>
      <c r="K38" s="1">
        <v>0.662721708858114</v>
      </c>
      <c r="L38" s="1">
        <v>0.769369231586665</v>
      </c>
      <c r="M38" s="1">
        <v>0.665900485227492</v>
      </c>
      <c r="N38" s="13">
        <v>0.644577447058483</v>
      </c>
      <c r="O38" s="1">
        <v>0.21617622447265</v>
      </c>
      <c r="P38" s="16">
        <f t="shared" si="1"/>
        <v>0.713905321948627</v>
      </c>
      <c r="Q38" s="1">
        <v>0.591739413229256</v>
      </c>
      <c r="R38" s="1">
        <v>0.988427676527234</v>
      </c>
      <c r="S38" s="1">
        <v>0.790083544878245</v>
      </c>
    </row>
    <row r="39" s="1" customFormat="1" spans="1:19">
      <c r="A39" s="15" t="s">
        <v>56</v>
      </c>
      <c r="B39" s="1">
        <v>807</v>
      </c>
      <c r="C39" s="1">
        <v>1037</v>
      </c>
      <c r="D39" s="1">
        <v>3410243</v>
      </c>
      <c r="E39" s="1">
        <v>11.598</v>
      </c>
      <c r="F39" s="1">
        <v>2.652</v>
      </c>
      <c r="G39" s="1">
        <v>377.138</v>
      </c>
      <c r="H39" s="1">
        <v>0.863693167654159</v>
      </c>
      <c r="I39" s="1">
        <v>0.77917068466731</v>
      </c>
      <c r="J39" s="1">
        <v>0.816301925107634</v>
      </c>
      <c r="K39" s="1">
        <v>0.663322311477119</v>
      </c>
      <c r="L39" s="1">
        <v>0.765957067843974</v>
      </c>
      <c r="M39" s="1">
        <v>0.687997399483663</v>
      </c>
      <c r="N39" s="13">
        <v>0.651388154182007</v>
      </c>
      <c r="O39" s="1">
        <v>0.218595387658233</v>
      </c>
      <c r="P39" s="16">
        <f t="shared" si="1"/>
        <v>0.7248871716889</v>
      </c>
      <c r="Q39" s="1">
        <v>0.600836905325796</v>
      </c>
      <c r="R39" s="1">
        <v>0.988981560460441</v>
      </c>
      <c r="S39" s="1">
        <v>0.794909232893119</v>
      </c>
    </row>
    <row r="40" s="1" customFormat="1" spans="1:19">
      <c r="A40" s="15" t="s">
        <v>42</v>
      </c>
      <c r="B40" s="1">
        <v>807</v>
      </c>
      <c r="C40" s="1">
        <v>1037</v>
      </c>
      <c r="D40" s="1">
        <v>3410243</v>
      </c>
      <c r="E40" s="1">
        <v>11.598</v>
      </c>
      <c r="F40" s="1">
        <v>2.672</v>
      </c>
      <c r="G40" s="1">
        <v>374.26</v>
      </c>
      <c r="H40" s="1">
        <v>0.87025103058111</v>
      </c>
      <c r="I40" s="1">
        <v>0.756742024209623</v>
      </c>
      <c r="J40" s="1">
        <v>0.805512262962245</v>
      </c>
      <c r="K40" s="1">
        <v>0.652151755693157</v>
      </c>
      <c r="L40" s="1">
        <v>0.751547154195582</v>
      </c>
      <c r="M40" s="1">
        <v>0.667988716826878</v>
      </c>
      <c r="N40" s="13">
        <v>0.638882975494678</v>
      </c>
      <c r="O40" s="1">
        <v>0.212845339506665</v>
      </c>
      <c r="P40" s="16">
        <f t="shared" si="1"/>
        <v>0.707308676609068</v>
      </c>
      <c r="Q40" s="1">
        <v>0.600746673753056</v>
      </c>
      <c r="R40" s="1">
        <v>0.98900322569487</v>
      </c>
      <c r="S40" s="1">
        <v>0.794874949723963</v>
      </c>
    </row>
    <row r="41" s="1" customFormat="1" spans="1:19">
      <c r="A41" s="15" t="s">
        <v>52</v>
      </c>
      <c r="B41" s="1">
        <v>807</v>
      </c>
      <c r="C41" s="1">
        <v>1037</v>
      </c>
      <c r="D41" s="1">
        <v>3410243</v>
      </c>
      <c r="E41" s="1">
        <v>11.598</v>
      </c>
      <c r="F41" s="1">
        <v>2.598</v>
      </c>
      <c r="G41" s="1">
        <v>384.873</v>
      </c>
      <c r="H41" s="1">
        <v>0.875532430078602</v>
      </c>
      <c r="I41" s="1">
        <v>0.751205400192864</v>
      </c>
      <c r="J41" s="1">
        <v>0.801100784383297</v>
      </c>
      <c r="K41" s="1">
        <v>0.644853517831781</v>
      </c>
      <c r="L41" s="1">
        <v>0.775864924814858</v>
      </c>
      <c r="M41" s="1">
        <v>0.647588983534791</v>
      </c>
      <c r="N41" s="13">
        <v>0.612856519290054</v>
      </c>
      <c r="O41" s="1">
        <v>0.212986223772453</v>
      </c>
      <c r="P41" s="16">
        <f t="shared" si="1"/>
        <v>0.705947098215047</v>
      </c>
      <c r="Q41" s="1">
        <v>0.600547071717018</v>
      </c>
      <c r="R41" s="1">
        <v>0.989177228225325</v>
      </c>
      <c r="S41" s="1">
        <v>0.794862149971172</v>
      </c>
    </row>
    <row r="42" s="1" customFormat="1" spans="1:19">
      <c r="A42" s="15" t="s">
        <v>57</v>
      </c>
      <c r="B42" s="1">
        <v>807</v>
      </c>
      <c r="C42" s="1">
        <v>1037</v>
      </c>
      <c r="D42" s="1">
        <v>3263811</v>
      </c>
      <c r="E42" s="1">
        <v>11.48</v>
      </c>
      <c r="F42" s="1">
        <v>2.49</v>
      </c>
      <c r="G42" s="1">
        <v>401.664</v>
      </c>
      <c r="H42" s="1">
        <v>0.857589677754333</v>
      </c>
      <c r="I42" s="1">
        <v>0.749116073356432</v>
      </c>
      <c r="J42" s="1">
        <v>0.803286246481256</v>
      </c>
      <c r="K42" s="1">
        <v>0.637736125191587</v>
      </c>
      <c r="L42" s="1">
        <v>0.768423970621482</v>
      </c>
      <c r="M42" s="1">
        <v>0.646368323416878</v>
      </c>
      <c r="N42" s="13">
        <v>0.636444452539935</v>
      </c>
      <c r="O42" s="1">
        <v>0.218131042072397</v>
      </c>
      <c r="P42" s="16">
        <f t="shared" si="1"/>
        <v>0.702131211283627</v>
      </c>
      <c r="Q42" s="1">
        <v>0.604459634388816</v>
      </c>
      <c r="R42" s="1">
        <v>0.988811266941967</v>
      </c>
      <c r="S42" s="1">
        <v>0.796635450665391</v>
      </c>
    </row>
    <row r="43" s="1" customFormat="1" spans="1:19">
      <c r="A43" s="15" t="s">
        <v>43</v>
      </c>
      <c r="B43" s="1">
        <v>807</v>
      </c>
      <c r="C43" s="1">
        <v>1037</v>
      </c>
      <c r="D43" s="1">
        <v>3263811</v>
      </c>
      <c r="E43" s="1">
        <v>11.48</v>
      </c>
      <c r="F43" s="1">
        <v>2.54</v>
      </c>
      <c r="G43" s="1">
        <v>393.73</v>
      </c>
      <c r="H43" s="1">
        <v>0.873948622389814</v>
      </c>
      <c r="I43" s="1">
        <v>0.755062680810029</v>
      </c>
      <c r="J43" s="1">
        <v>0.787570118491865</v>
      </c>
      <c r="K43" s="1">
        <v>0.621722463931666</v>
      </c>
      <c r="L43" s="1">
        <v>0.748155740508445</v>
      </c>
      <c r="M43" s="1">
        <v>0.673207787214961</v>
      </c>
      <c r="N43" s="13">
        <v>0.618169939911122</v>
      </c>
      <c r="O43" s="1">
        <v>0.207475389423087</v>
      </c>
      <c r="P43" s="16">
        <f t="shared" si="1"/>
        <v>0.708705775455739</v>
      </c>
      <c r="Q43" s="1">
        <v>0.600544405583666</v>
      </c>
      <c r="R43" s="1">
        <v>0.988870288307323</v>
      </c>
      <c r="S43" s="1">
        <v>0.794707346945495</v>
      </c>
    </row>
    <row r="44" s="1" customFormat="1" spans="1:19">
      <c r="A44" s="15" t="s">
        <v>50</v>
      </c>
      <c r="B44" s="1">
        <v>807</v>
      </c>
      <c r="C44" s="1">
        <v>1037</v>
      </c>
      <c r="D44" s="1">
        <v>3263811</v>
      </c>
      <c r="E44" s="1">
        <v>11.48</v>
      </c>
      <c r="F44" s="1">
        <v>2.477</v>
      </c>
      <c r="G44" s="1">
        <v>403.795</v>
      </c>
      <c r="H44" s="1">
        <v>0.857248338447009</v>
      </c>
      <c r="I44" s="1">
        <v>0.770191089709054</v>
      </c>
      <c r="J44" s="1">
        <v>0.801016398371624</v>
      </c>
      <c r="K44" s="1">
        <v>0.637275907853082</v>
      </c>
      <c r="L44" s="1">
        <v>0.762665041195701</v>
      </c>
      <c r="M44" s="1">
        <v>0.665380906460945</v>
      </c>
      <c r="N44" s="13">
        <v>0.629107011155546</v>
      </c>
      <c r="O44" s="1">
        <v>0.206784349924507</v>
      </c>
      <c r="P44" s="16">
        <f t="shared" si="1"/>
        <v>0.710709283926881</v>
      </c>
      <c r="Q44" s="1">
        <v>0.598185223132319</v>
      </c>
      <c r="R44" s="1">
        <v>0.988921060593067</v>
      </c>
      <c r="S44" s="1">
        <v>0.793553141862693</v>
      </c>
    </row>
    <row r="45" spans="1:19">
      <c r="A45" s="17"/>
    </row>
    <row r="46" spans="1:19">
      <c r="A46" s="15" t="s">
        <v>58</v>
      </c>
      <c r="E46">
        <f t="shared" ref="E46:M46" si="2">SUM(E42+E43+E44)/3</f>
        <v>11.48</v>
      </c>
      <c r="F46">
        <f t="shared" si="2"/>
        <v>2.50233333333333</v>
      </c>
      <c r="G46">
        <f t="shared" si="2"/>
        <v>399.729666666667</v>
      </c>
      <c r="H46">
        <f t="shared" si="2"/>
        <v>0.862928879530385</v>
      </c>
      <c r="I46">
        <f t="shared" si="2"/>
        <v>0.758123281291838</v>
      </c>
      <c r="J46">
        <f t="shared" si="2"/>
        <v>0.797290921114915</v>
      </c>
      <c r="K46">
        <f t="shared" si="2"/>
        <v>0.632244832325445</v>
      </c>
      <c r="L46">
        <f t="shared" si="2"/>
        <v>0.759748250775209</v>
      </c>
      <c r="M46">
        <f t="shared" si="2"/>
        <v>0.661652339030928</v>
      </c>
      <c r="N46" s="10">
        <f t="shared" ref="N46:S46" si="3">SUM(N42+N43+N44)/3</f>
        <v>0.627907134535534</v>
      </c>
      <c r="O46">
        <f t="shared" si="3"/>
        <v>0.210796927139997</v>
      </c>
      <c r="P46">
        <f t="shared" si="3"/>
        <v>0.707182090222083</v>
      </c>
      <c r="Q46">
        <f t="shared" si="3"/>
        <v>0.6010630877016</v>
      </c>
      <c r="R46">
        <f t="shared" si="3"/>
        <v>0.988867538614119</v>
      </c>
      <c r="S46">
        <f t="shared" si="3"/>
        <v>0.79496531315786</v>
      </c>
    </row>
    <row r="47" spans="1:19">
      <c r="A47" s="15" t="s">
        <v>59</v>
      </c>
      <c r="E47">
        <f t="shared" ref="E47:M47" si="4">SUM(E41+E40+E39)/3</f>
        <v>11.598</v>
      </c>
      <c r="F47">
        <f t="shared" si="4"/>
        <v>2.64066666666667</v>
      </c>
      <c r="G47">
        <f t="shared" si="4"/>
        <v>378.757</v>
      </c>
      <c r="H47">
        <f t="shared" si="4"/>
        <v>0.86982554277129</v>
      </c>
      <c r="I47">
        <f t="shared" si="4"/>
        <v>0.762372703023266</v>
      </c>
      <c r="J47">
        <f t="shared" si="4"/>
        <v>0.807638324151059</v>
      </c>
      <c r="K47">
        <f t="shared" si="4"/>
        <v>0.653442528334019</v>
      </c>
      <c r="L47">
        <f t="shared" si="4"/>
        <v>0.764456382284805</v>
      </c>
      <c r="M47">
        <f t="shared" si="4"/>
        <v>0.667858366615111</v>
      </c>
      <c r="N47" s="10">
        <f t="shared" ref="N47:S47" si="5">SUM(N41+N40+N39)/3</f>
        <v>0.634375882988913</v>
      </c>
      <c r="O47">
        <f t="shared" si="5"/>
        <v>0.214808983645784</v>
      </c>
      <c r="P47">
        <f t="shared" si="5"/>
        <v>0.712714315504338</v>
      </c>
      <c r="Q47">
        <f t="shared" si="5"/>
        <v>0.600710216931957</v>
      </c>
      <c r="R47">
        <f t="shared" si="5"/>
        <v>0.989054004793545</v>
      </c>
      <c r="S47">
        <f t="shared" si="5"/>
        <v>0.794882110862751</v>
      </c>
    </row>
    <row r="48" spans="1:19">
      <c r="A48" s="15" t="s">
        <v>60</v>
      </c>
      <c r="E48">
        <f>SUM(E38+E37+E36)/3</f>
        <v>14.098</v>
      </c>
      <c r="F48">
        <f>SUM(F38+F37+F36)/3</f>
        <v>2.85966666666667</v>
      </c>
      <c r="G48">
        <f t="shared" ref="G48:S48" si="6">SUM(G38+G37+G36)/3</f>
        <v>349.731333333333</v>
      </c>
      <c r="H48">
        <f t="shared" si="6"/>
        <v>0.861011505685084</v>
      </c>
      <c r="I48">
        <f t="shared" si="6"/>
        <v>0.770195479407528</v>
      </c>
      <c r="J48">
        <f t="shared" si="6"/>
        <v>0.806325669522555</v>
      </c>
      <c r="K48">
        <f t="shared" si="6"/>
        <v>0.662613263395555</v>
      </c>
      <c r="L48">
        <f t="shared" si="6"/>
        <v>0.774457329417521</v>
      </c>
      <c r="M48">
        <f t="shared" si="6"/>
        <v>0.666894400954526</v>
      </c>
      <c r="N48" s="10">
        <f t="shared" si="6"/>
        <v>0.639512507728321</v>
      </c>
      <c r="O48">
        <f t="shared" si="6"/>
        <v>0.214199024019351</v>
      </c>
      <c r="P48">
        <f t="shared" si="6"/>
        <v>0.716658156408968</v>
      </c>
      <c r="Q48">
        <f t="shared" si="6"/>
        <v>0.597012085422039</v>
      </c>
      <c r="R48">
        <f t="shared" si="6"/>
        <v>0.988667979130485</v>
      </c>
      <c r="S48">
        <f t="shared" si="6"/>
        <v>0.792840032276262</v>
      </c>
    </row>
    <row r="49" spans="1:19">
      <c r="A49" s="15" t="s">
        <v>61</v>
      </c>
      <c r="E49">
        <f>SUM(E33+E34+E35)/3</f>
        <v>14.216</v>
      </c>
      <c r="F49">
        <f t="shared" ref="F49:S49" si="7">SUM(F33+F34+F35)/3</f>
        <v>2.993</v>
      </c>
      <c r="G49">
        <f t="shared" si="7"/>
        <v>334.259</v>
      </c>
      <c r="H49">
        <f t="shared" si="7"/>
        <v>0.863638147478116</v>
      </c>
      <c r="I49">
        <f t="shared" si="7"/>
        <v>0.769162458695775</v>
      </c>
      <c r="J49">
        <f t="shared" si="7"/>
        <v>0.81121253998698</v>
      </c>
      <c r="K49">
        <f t="shared" si="7"/>
        <v>0.666132946548167</v>
      </c>
      <c r="L49">
        <f t="shared" si="7"/>
        <v>0.762774722738448</v>
      </c>
      <c r="M49">
        <f t="shared" si="7"/>
        <v>0.679802124398121</v>
      </c>
      <c r="N49" s="10">
        <f t="shared" si="7"/>
        <v>0.648564184163577</v>
      </c>
      <c r="O49">
        <f t="shared" si="7"/>
        <v>0.217578306151939</v>
      </c>
      <c r="P49">
        <f t="shared" si="7"/>
        <v>0.718881981575308</v>
      </c>
      <c r="Q49">
        <f t="shared" si="7"/>
        <v>0.603520853489973</v>
      </c>
      <c r="R49">
        <f t="shared" si="7"/>
        <v>0.988998222374381</v>
      </c>
      <c r="S49">
        <f t="shared" si="7"/>
        <v>0.796259537932177</v>
      </c>
    </row>
    <row r="50" s="5" customFormat="1" spans="1:19">
      <c r="A50" s="14"/>
      <c r="N50" s="10"/>
    </row>
    <row r="55" spans="1:19">
      <c r="A55" s="1" t="s">
        <v>62</v>
      </c>
      <c r="B55" s="1">
        <v>807</v>
      </c>
      <c r="C55" s="1">
        <v>1037</v>
      </c>
      <c r="D55" s="1">
        <v>2842803</v>
      </c>
      <c r="E55" s="1">
        <v>9.727</v>
      </c>
      <c r="F55" s="1">
        <v>2.614</v>
      </c>
      <c r="G55" s="1">
        <v>382.502</v>
      </c>
      <c r="H55" s="1">
        <v>0.853613665858413</v>
      </c>
      <c r="I55" s="1">
        <v>0.775313404050145</v>
      </c>
      <c r="J55" s="1">
        <v>0.818968166978271</v>
      </c>
      <c r="K55" s="1">
        <v>0.645422668396866</v>
      </c>
      <c r="L55" s="1">
        <v>0.763238995663649</v>
      </c>
      <c r="M55" s="1">
        <v>0.693228729882955</v>
      </c>
      <c r="N55" s="13">
        <v>0.676942563070746</v>
      </c>
      <c r="O55" s="1">
        <v>0.224260264810035</v>
      </c>
    </row>
    <row r="57" s="6" customFormat="1" ht="14.25" spans="1:19">
      <c r="N57" s="10"/>
    </row>
    <row r="58" spans="1:19">
      <c r="A58" s="18" t="s">
        <v>63</v>
      </c>
    </row>
    <row r="59" s="1" customFormat="1" spans="1:19">
      <c r="A59" s="19" t="s">
        <v>54</v>
      </c>
      <c r="B59" s="1">
        <v>807</v>
      </c>
      <c r="C59" s="1">
        <v>1037</v>
      </c>
      <c r="D59" s="1">
        <v>4833091</v>
      </c>
      <c r="E59" s="1">
        <v>14.216</v>
      </c>
      <c r="F59" s="1">
        <v>3.007</v>
      </c>
      <c r="G59" s="1">
        <v>332.524</v>
      </c>
      <c r="H59" s="1">
        <v>0.851592900349376</v>
      </c>
      <c r="I59" s="1">
        <v>0.760848601735776</v>
      </c>
      <c r="J59" s="1">
        <v>0.814119700081925</v>
      </c>
      <c r="K59" s="1">
        <v>0.668735051541457</v>
      </c>
      <c r="L59" s="1">
        <v>0.751814191881326</v>
      </c>
      <c r="M59" s="1">
        <v>0.663102760896487</v>
      </c>
      <c r="N59" s="13">
        <v>0.647969702224807</v>
      </c>
      <c r="O59" s="1">
        <v>0.216010186204202</v>
      </c>
      <c r="P59" s="16">
        <f>2*L59*M59/(L59+M59)</f>
        <v>0.70467749409453</v>
      </c>
      <c r="Q59" s="1">
        <v>0.580146025539106</v>
      </c>
      <c r="R59" s="1">
        <v>0.987727351187599</v>
      </c>
      <c r="S59" s="1">
        <v>0.783936688363353</v>
      </c>
    </row>
    <row r="60" s="1" customFormat="1" spans="1:19">
      <c r="A60" s="19" t="s">
        <v>36</v>
      </c>
      <c r="B60" s="1">
        <v>807</v>
      </c>
      <c r="C60" s="1">
        <v>1037</v>
      </c>
      <c r="D60" s="1">
        <v>4833091</v>
      </c>
      <c r="E60" s="1">
        <v>14.216</v>
      </c>
      <c r="F60" s="1">
        <v>2.938</v>
      </c>
      <c r="G60" s="1">
        <v>340.339</v>
      </c>
      <c r="H60" s="1">
        <v>0.891081795830471</v>
      </c>
      <c r="I60" s="1">
        <v>0.754098360655738</v>
      </c>
      <c r="J60" s="1">
        <v>0.810316699946453</v>
      </c>
      <c r="K60" s="1">
        <v>0.662699820068899</v>
      </c>
      <c r="L60" s="1">
        <v>0.780409146252125</v>
      </c>
      <c r="M60" s="1">
        <v>0.674059787849566</v>
      </c>
      <c r="N60" s="13">
        <v>0.646109653711154</v>
      </c>
      <c r="O60" s="1">
        <v>0.210669626277826</v>
      </c>
      <c r="P60" s="16">
        <f t="shared" ref="P60:P70" si="8">2*L60*M60/(L60+M60)</f>
        <v>0.72334638605872</v>
      </c>
      <c r="Q60" s="1">
        <v>0.578922740419233</v>
      </c>
      <c r="R60" s="1">
        <v>0.987787860367152</v>
      </c>
      <c r="S60" s="1">
        <v>0.783355300393193</v>
      </c>
    </row>
    <row r="61" s="1" customFormat="1" spans="1:19">
      <c r="A61" s="19" t="s">
        <v>51</v>
      </c>
      <c r="B61" s="1">
        <v>807</v>
      </c>
      <c r="C61" s="1">
        <v>1037</v>
      </c>
      <c r="D61" s="1">
        <v>4833091</v>
      </c>
      <c r="E61" s="1">
        <v>14.216</v>
      </c>
      <c r="F61" s="1">
        <v>2.937</v>
      </c>
      <c r="G61" s="1">
        <v>340.484</v>
      </c>
      <c r="H61" s="1">
        <v>0.849779646202821</v>
      </c>
      <c r="I61" s="1">
        <v>0.763707127517691</v>
      </c>
      <c r="J61" s="1">
        <v>0.808646050452537</v>
      </c>
      <c r="K61" s="1">
        <v>0.660952336092578</v>
      </c>
      <c r="L61" s="1">
        <v>0.778950133657807</v>
      </c>
      <c r="M61" s="1">
        <v>0.65244221219571</v>
      </c>
      <c r="N61" s="13">
        <v>0.638676910611159</v>
      </c>
      <c r="O61" s="1">
        <v>0.209564222332334</v>
      </c>
      <c r="P61" s="16">
        <f t="shared" si="8"/>
        <v>0.710105723096905</v>
      </c>
      <c r="Q61" s="1">
        <v>0.575372945871946</v>
      </c>
      <c r="R61" s="1">
        <v>0.98769085912949</v>
      </c>
      <c r="S61" s="1">
        <v>0.781531902500718</v>
      </c>
    </row>
    <row r="62" s="1" customFormat="1" spans="1:19">
      <c r="A62" s="19" t="s">
        <v>55</v>
      </c>
      <c r="B62" s="1">
        <v>807</v>
      </c>
      <c r="C62" s="1">
        <v>1037</v>
      </c>
      <c r="D62" s="1">
        <v>4686659</v>
      </c>
      <c r="E62" s="1">
        <v>14.098</v>
      </c>
      <c r="F62" s="1">
        <v>2.847</v>
      </c>
      <c r="G62" s="1">
        <v>351.262</v>
      </c>
      <c r="H62" s="1">
        <v>0.846578338565945</v>
      </c>
      <c r="I62" s="1">
        <v>0.772420443587271</v>
      </c>
      <c r="J62" s="1">
        <v>0.81194633509936</v>
      </c>
      <c r="K62" s="1">
        <v>0.658837604908658</v>
      </c>
      <c r="L62" s="1">
        <v>0.747459228613508</v>
      </c>
      <c r="M62" s="1">
        <v>0.667309546769527</v>
      </c>
      <c r="N62" s="13">
        <v>0.635242618093407</v>
      </c>
      <c r="O62" s="1">
        <v>0.209692744070968</v>
      </c>
      <c r="P62" s="16">
        <f t="shared" si="8"/>
        <v>0.705114062104938</v>
      </c>
      <c r="Q62" s="1">
        <v>0.577548097782302</v>
      </c>
      <c r="R62" s="1">
        <v>0.98756607244461</v>
      </c>
      <c r="S62" s="1">
        <v>0.782557085113456</v>
      </c>
    </row>
    <row r="63" s="1" customFormat="1" spans="1:19">
      <c r="A63" s="19" t="s">
        <v>37</v>
      </c>
      <c r="B63" s="1">
        <v>807</v>
      </c>
      <c r="C63" s="1">
        <v>1037</v>
      </c>
      <c r="D63" s="1">
        <v>4686659</v>
      </c>
      <c r="E63" s="1">
        <v>14.098</v>
      </c>
      <c r="F63" s="1">
        <v>2.849</v>
      </c>
      <c r="G63" s="1">
        <v>350.965</v>
      </c>
      <c r="H63" s="1">
        <v>0.847998960434211</v>
      </c>
      <c r="I63" s="1">
        <v>0.774698346750612</v>
      </c>
      <c r="J63" s="1">
        <v>0.814876141742096</v>
      </c>
      <c r="K63" s="1">
        <v>0.666254543232235</v>
      </c>
      <c r="L63" s="1">
        <v>0.753575984971621</v>
      </c>
      <c r="M63" s="1">
        <v>0.677917068466731</v>
      </c>
      <c r="N63" s="13">
        <v>0.645558656946146</v>
      </c>
      <c r="O63" s="1">
        <v>0.211288296225043</v>
      </c>
      <c r="P63" s="16">
        <f t="shared" si="8"/>
        <v>0.713747120702868</v>
      </c>
      <c r="Q63" s="1">
        <v>0.545492642290964</v>
      </c>
      <c r="R63" s="1">
        <v>0.985662664011127</v>
      </c>
      <c r="S63" s="1">
        <v>0.765577653151045</v>
      </c>
    </row>
    <row r="64" s="1" customFormat="1" spans="1:19">
      <c r="A64" s="19" t="s">
        <v>49</v>
      </c>
      <c r="B64" s="1">
        <v>807</v>
      </c>
      <c r="C64" s="1">
        <v>1037</v>
      </c>
      <c r="D64" s="1">
        <v>4686659</v>
      </c>
      <c r="E64" s="1">
        <v>14.098</v>
      </c>
      <c r="F64" s="1">
        <v>2.852</v>
      </c>
      <c r="G64" s="1">
        <v>350.586</v>
      </c>
      <c r="H64" s="1">
        <v>0.856271822903649</v>
      </c>
      <c r="I64" s="1">
        <v>0.761812921890068</v>
      </c>
      <c r="J64" s="1">
        <v>0.813090472368101</v>
      </c>
      <c r="K64" s="1">
        <v>0.671870710475841</v>
      </c>
      <c r="L64" s="1">
        <v>0.764170521304565</v>
      </c>
      <c r="M64" s="1">
        <v>0.660559305689489</v>
      </c>
      <c r="N64" s="13">
        <v>0.640239584502502</v>
      </c>
      <c r="O64" s="1">
        <v>0.210347860210046</v>
      </c>
      <c r="P64" s="16">
        <f t="shared" si="8"/>
        <v>0.708597432884972</v>
      </c>
      <c r="Q64" s="1">
        <v>0.563195139196453</v>
      </c>
      <c r="R64" s="1">
        <v>0.986702490023704</v>
      </c>
      <c r="S64" s="1">
        <v>0.774948814610078</v>
      </c>
    </row>
    <row r="65" s="1" customFormat="1" spans="1:19">
      <c r="A65" s="19" t="s">
        <v>56</v>
      </c>
      <c r="B65" s="1">
        <v>807</v>
      </c>
      <c r="C65" s="1">
        <v>1037</v>
      </c>
      <c r="D65" s="1">
        <v>3410243</v>
      </c>
      <c r="E65" s="1">
        <v>11.598</v>
      </c>
      <c r="F65" s="1">
        <v>2.578</v>
      </c>
      <c r="G65" s="1">
        <v>387.869</v>
      </c>
      <c r="H65" s="1">
        <v>0.871510612500162</v>
      </c>
      <c r="I65" s="1">
        <v>0.75218473335399</v>
      </c>
      <c r="J65" s="1">
        <v>0.821756415556173</v>
      </c>
      <c r="K65" s="1">
        <v>0.662914084589752</v>
      </c>
      <c r="L65" s="1">
        <v>0.77727174684844</v>
      </c>
      <c r="M65" s="1">
        <v>0.65622626392369</v>
      </c>
      <c r="N65" s="13">
        <v>0.651549315939503</v>
      </c>
      <c r="O65" s="1">
        <v>0.209817709245419</v>
      </c>
      <c r="P65" s="16">
        <f t="shared" si="8"/>
        <v>0.711638426638699</v>
      </c>
      <c r="Q65" s="1">
        <v>0.563501864387852</v>
      </c>
      <c r="R65" s="1">
        <v>0.987030081044803</v>
      </c>
      <c r="S65" s="1">
        <v>0.775265972716328</v>
      </c>
    </row>
    <row r="66" s="1" customFormat="1" spans="1:19">
      <c r="A66" s="19" t="s">
        <v>42</v>
      </c>
      <c r="B66" s="1">
        <v>807</v>
      </c>
      <c r="C66" s="1">
        <v>1037</v>
      </c>
      <c r="D66" s="1">
        <v>3410243</v>
      </c>
      <c r="E66" s="1">
        <v>11.598</v>
      </c>
      <c r="F66" s="1">
        <v>2.576</v>
      </c>
      <c r="G66" s="1">
        <v>388.127</v>
      </c>
      <c r="H66" s="1">
        <v>0.831464594334961</v>
      </c>
      <c r="I66" s="1">
        <v>0.774349083895853</v>
      </c>
      <c r="J66" s="1">
        <v>0.819337571917275</v>
      </c>
      <c r="K66" s="1">
        <v>0.661790249775896</v>
      </c>
      <c r="L66" s="1">
        <v>0.762096516460374</v>
      </c>
      <c r="M66" s="1">
        <v>0.659594985535198</v>
      </c>
      <c r="N66" s="13">
        <v>0.640591649171298</v>
      </c>
      <c r="O66" s="1">
        <v>0.205346199984718</v>
      </c>
      <c r="P66" s="16">
        <f t="shared" si="8"/>
        <v>0.707150658276454</v>
      </c>
      <c r="Q66" s="1">
        <v>0.56271203703834</v>
      </c>
      <c r="R66" s="1">
        <v>0.986967282476147</v>
      </c>
      <c r="S66" s="1">
        <v>0.774839659757243</v>
      </c>
    </row>
    <row r="67" s="1" customFormat="1" spans="1:19">
      <c r="A67" s="19" t="s">
        <v>52</v>
      </c>
      <c r="B67" s="1">
        <v>807</v>
      </c>
      <c r="C67" s="1">
        <v>1037</v>
      </c>
      <c r="D67" s="1">
        <v>3410243</v>
      </c>
      <c r="E67" s="1">
        <v>11.598</v>
      </c>
      <c r="F67" s="1">
        <v>2.582</v>
      </c>
      <c r="G67" s="1">
        <v>387.277</v>
      </c>
      <c r="H67" s="1">
        <v>0.841561107291967</v>
      </c>
      <c r="I67" s="1">
        <v>0.747821779040311</v>
      </c>
      <c r="J67" s="1">
        <v>0.790975585114357</v>
      </c>
      <c r="K67" s="1">
        <v>0.63779121409481</v>
      </c>
      <c r="L67" s="1">
        <v>0.764228579772202</v>
      </c>
      <c r="M67" s="1">
        <v>0.666345226615236</v>
      </c>
      <c r="N67" s="13">
        <v>0.624683011267527</v>
      </c>
      <c r="O67" s="1">
        <v>0.20430646093161</v>
      </c>
      <c r="P67" s="16">
        <f t="shared" si="8"/>
        <v>0.711938194171342</v>
      </c>
      <c r="Q67" s="1">
        <v>0.565825931331945</v>
      </c>
      <c r="R67" s="1">
        <v>0.987079227212602</v>
      </c>
      <c r="S67" s="1">
        <v>0.776452579272274</v>
      </c>
    </row>
    <row r="68" s="1" customFormat="1" spans="1:19">
      <c r="A68" s="19" t="s">
        <v>57</v>
      </c>
      <c r="B68" s="1">
        <v>807</v>
      </c>
      <c r="C68" s="1">
        <v>1037</v>
      </c>
      <c r="D68" s="1">
        <v>3263811</v>
      </c>
      <c r="E68" s="1">
        <v>11.48</v>
      </c>
      <c r="F68" s="1">
        <v>2.495</v>
      </c>
      <c r="G68" s="1">
        <v>400.8</v>
      </c>
      <c r="H68" s="1">
        <v>0.857911449955203</v>
      </c>
      <c r="I68" s="1">
        <v>0.764705882352941</v>
      </c>
      <c r="J68" s="1">
        <v>0.798002712146378</v>
      </c>
      <c r="K68" s="1">
        <v>0.6341083488922</v>
      </c>
      <c r="L68" s="1">
        <v>0.744236208156428</v>
      </c>
      <c r="M68" s="1">
        <v>0.664416586306654</v>
      </c>
      <c r="N68" s="13">
        <v>0.613302591115068</v>
      </c>
      <c r="O68" s="1">
        <v>0.20334048559127</v>
      </c>
      <c r="P68" s="16">
        <f t="shared" si="8"/>
        <v>0.702064955640936</v>
      </c>
      <c r="Q68" s="1">
        <v>0.563413194093356</v>
      </c>
      <c r="R68" s="1">
        <v>0.986691885563913</v>
      </c>
      <c r="S68" s="1">
        <v>0.775052539828635</v>
      </c>
    </row>
    <row r="69" s="1" customFormat="1" spans="1:19">
      <c r="A69" s="19" t="s">
        <v>43</v>
      </c>
      <c r="B69" s="1">
        <v>807</v>
      </c>
      <c r="C69" s="1">
        <v>1037</v>
      </c>
      <c r="D69" s="1">
        <v>3263811</v>
      </c>
      <c r="E69" s="1">
        <v>11.48</v>
      </c>
      <c r="F69" s="1">
        <v>2.497</v>
      </c>
      <c r="G69" s="1">
        <v>400.415</v>
      </c>
      <c r="H69" s="1">
        <v>0.872148238019494</v>
      </c>
      <c r="I69" s="1">
        <v>0.736740597878496</v>
      </c>
      <c r="J69" s="1">
        <v>0.808064311008476</v>
      </c>
      <c r="K69" s="1">
        <v>0.634994414153383</v>
      </c>
      <c r="L69" s="1">
        <v>0.772832928192667</v>
      </c>
      <c r="M69" s="1">
        <v>0.652844744455159</v>
      </c>
      <c r="N69" s="13">
        <v>0.635518898087734</v>
      </c>
      <c r="O69" s="1">
        <v>0.205278081572437</v>
      </c>
      <c r="P69" s="16">
        <f t="shared" si="8"/>
        <v>0.707789600962779</v>
      </c>
      <c r="Q69" s="1">
        <v>0.549167223872499</v>
      </c>
      <c r="R69" s="1">
        <v>0.986061394143661</v>
      </c>
      <c r="S69" s="1">
        <v>0.76761430900808</v>
      </c>
    </row>
    <row r="70" s="1" customFormat="1" spans="1:19">
      <c r="A70" s="19" t="s">
        <v>50</v>
      </c>
      <c r="B70" s="1">
        <v>807</v>
      </c>
      <c r="C70" s="1">
        <v>1037</v>
      </c>
      <c r="D70" s="1">
        <v>3263811</v>
      </c>
      <c r="E70" s="1">
        <v>11.48</v>
      </c>
      <c r="F70" s="1">
        <v>2.496</v>
      </c>
      <c r="G70" s="1">
        <v>400.621</v>
      </c>
      <c r="H70" s="1">
        <v>0.846894261302597</v>
      </c>
      <c r="I70" s="1">
        <v>0.743490838958534</v>
      </c>
      <c r="J70" s="1">
        <v>0.795929717764292</v>
      </c>
      <c r="K70" s="1">
        <v>0.625683176564358</v>
      </c>
      <c r="L70" s="1">
        <v>0.781071388992639</v>
      </c>
      <c r="M70" s="1">
        <v>0.656702025072324</v>
      </c>
      <c r="N70" s="13">
        <v>0.641905096431826</v>
      </c>
      <c r="O70" s="1">
        <v>0.20628990211771</v>
      </c>
      <c r="P70" s="16">
        <f t="shared" si="8"/>
        <v>0.713507647115727</v>
      </c>
      <c r="Q70" s="1">
        <v>0.564459935488003</v>
      </c>
      <c r="R70" s="1">
        <v>0.986905336554104</v>
      </c>
      <c r="S70" s="1">
        <v>0.775682636021053</v>
      </c>
    </row>
    <row r="71" spans="1:19">
      <c r="A71" s="20"/>
    </row>
    <row r="72" spans="1:19">
      <c r="A72" s="19" t="s">
        <v>58</v>
      </c>
      <c r="E72">
        <f t="shared" ref="E72:S72" si="9">SUM(E68+E69+E70)/3</f>
        <v>11.48</v>
      </c>
      <c r="F72">
        <f t="shared" si="9"/>
        <v>2.496</v>
      </c>
      <c r="G72">
        <f t="shared" si="9"/>
        <v>400.612</v>
      </c>
      <c r="H72">
        <f t="shared" si="9"/>
        <v>0.858984649759098</v>
      </c>
      <c r="I72">
        <f t="shared" si="9"/>
        <v>0.74831243972999</v>
      </c>
      <c r="J72">
        <f t="shared" si="9"/>
        <v>0.800665580306382</v>
      </c>
      <c r="K72">
        <f t="shared" si="9"/>
        <v>0.631595313203314</v>
      </c>
      <c r="L72">
        <f t="shared" si="9"/>
        <v>0.766046841780578</v>
      </c>
      <c r="M72">
        <f t="shared" si="9"/>
        <v>0.657987785278046</v>
      </c>
      <c r="N72" s="10">
        <f t="shared" si="9"/>
        <v>0.630242195211543</v>
      </c>
      <c r="O72">
        <f t="shared" si="9"/>
        <v>0.204969489760472</v>
      </c>
      <c r="P72">
        <f t="shared" si="9"/>
        <v>0.707787401239814</v>
      </c>
      <c r="Q72">
        <f t="shared" si="9"/>
        <v>0.559013451151286</v>
      </c>
      <c r="R72">
        <f t="shared" si="9"/>
        <v>0.986552872087226</v>
      </c>
      <c r="S72">
        <f t="shared" si="9"/>
        <v>0.772783161619256</v>
      </c>
    </row>
    <row r="73" spans="1:19">
      <c r="A73" s="19" t="s">
        <v>59</v>
      </c>
      <c r="E73">
        <f t="shared" ref="E73:S73" si="10">SUM(E67+E66+E65)/3</f>
        <v>11.598</v>
      </c>
      <c r="F73">
        <f t="shared" si="10"/>
        <v>2.57866666666667</v>
      </c>
      <c r="G73">
        <f t="shared" si="10"/>
        <v>387.757666666667</v>
      </c>
      <c r="H73">
        <f t="shared" si="10"/>
        <v>0.848178771375697</v>
      </c>
      <c r="I73">
        <f t="shared" si="10"/>
        <v>0.758118532096718</v>
      </c>
      <c r="J73">
        <f t="shared" si="10"/>
        <v>0.810689857529268</v>
      </c>
      <c r="K73">
        <f t="shared" si="10"/>
        <v>0.654165182820153</v>
      </c>
      <c r="L73">
        <f t="shared" si="10"/>
        <v>0.767865614360339</v>
      </c>
      <c r="M73">
        <f t="shared" si="10"/>
        <v>0.660722158691375</v>
      </c>
      <c r="N73" s="10">
        <f t="shared" si="10"/>
        <v>0.638941325459443</v>
      </c>
      <c r="O73">
        <f t="shared" si="10"/>
        <v>0.206490123387249</v>
      </c>
      <c r="P73">
        <f t="shared" si="10"/>
        <v>0.710242426362165</v>
      </c>
      <c r="Q73">
        <f t="shared" si="10"/>
        <v>0.564013277586046</v>
      </c>
      <c r="R73">
        <f t="shared" si="10"/>
        <v>0.987025530244517</v>
      </c>
      <c r="S73">
        <f t="shared" si="10"/>
        <v>0.775519403915281</v>
      </c>
    </row>
    <row r="74" spans="1:19">
      <c r="A74" s="19" t="s">
        <v>60</v>
      </c>
      <c r="E74">
        <f t="shared" ref="E74:S74" si="11">SUM(E64+E63+E62)/3</f>
        <v>14.098</v>
      </c>
      <c r="F74">
        <f t="shared" si="11"/>
        <v>2.84933333333333</v>
      </c>
      <c r="G74">
        <f t="shared" si="11"/>
        <v>350.937666666667</v>
      </c>
      <c r="H74">
        <f t="shared" si="11"/>
        <v>0.850283040634602</v>
      </c>
      <c r="I74">
        <f t="shared" si="11"/>
        <v>0.769643904075984</v>
      </c>
      <c r="J74">
        <f t="shared" si="11"/>
        <v>0.813304316403186</v>
      </c>
      <c r="K74">
        <f t="shared" si="11"/>
        <v>0.665654286205578</v>
      </c>
      <c r="L74">
        <f t="shared" si="11"/>
        <v>0.755068578296564</v>
      </c>
      <c r="M74">
        <f t="shared" si="11"/>
        <v>0.668595306975249</v>
      </c>
      <c r="N74" s="10">
        <f t="shared" si="11"/>
        <v>0.640346953180685</v>
      </c>
      <c r="O74">
        <f t="shared" si="11"/>
        <v>0.210442966835352</v>
      </c>
      <c r="P74">
        <f t="shared" si="11"/>
        <v>0.709152871897593</v>
      </c>
      <c r="Q74">
        <f t="shared" si="11"/>
        <v>0.56207862642324</v>
      </c>
      <c r="R74">
        <f t="shared" si="11"/>
        <v>0.986643742159814</v>
      </c>
      <c r="S74">
        <f t="shared" si="11"/>
        <v>0.774361184291526</v>
      </c>
    </row>
    <row r="75" spans="1:19">
      <c r="A75" s="21" t="s">
        <v>61</v>
      </c>
      <c r="E75">
        <f t="shared" ref="E75:S75" si="12">SUM(E59+E60+E61)/3</f>
        <v>14.216</v>
      </c>
      <c r="F75">
        <f t="shared" si="12"/>
        <v>2.96066666666667</v>
      </c>
      <c r="G75">
        <f t="shared" si="12"/>
        <v>337.782333333333</v>
      </c>
      <c r="H75">
        <f t="shared" si="12"/>
        <v>0.864151447460889</v>
      </c>
      <c r="I75">
        <f t="shared" si="12"/>
        <v>0.759551363303068</v>
      </c>
      <c r="J75">
        <f t="shared" si="12"/>
        <v>0.811027483493638</v>
      </c>
      <c r="K75">
        <f t="shared" si="12"/>
        <v>0.664129069234311</v>
      </c>
      <c r="L75">
        <f t="shared" si="12"/>
        <v>0.770391157263753</v>
      </c>
      <c r="M75">
        <f t="shared" si="12"/>
        <v>0.663201586980588</v>
      </c>
      <c r="N75" s="10">
        <f t="shared" si="12"/>
        <v>0.64425208884904</v>
      </c>
      <c r="O75">
        <f t="shared" si="12"/>
        <v>0.21208134493812</v>
      </c>
      <c r="P75">
        <f t="shared" si="12"/>
        <v>0.712709867750052</v>
      </c>
      <c r="Q75">
        <f t="shared" si="12"/>
        <v>0.578147237276762</v>
      </c>
      <c r="R75">
        <f t="shared" si="12"/>
        <v>0.987735356894747</v>
      </c>
      <c r="S75">
        <f t="shared" si="12"/>
        <v>0.782941297085754</v>
      </c>
    </row>
    <row r="76" s="5" customFormat="1" spans="1:19">
      <c r="N76" s="10"/>
    </row>
    <row r="78" customFormat="1" ht="14.25" spans="1:19">
      <c r="N78" s="22"/>
    </row>
    <row r="79" s="7" customFormat="1" ht="14.25" spans="1:19">
      <c r="A79" s="23" t="s">
        <v>64</v>
      </c>
      <c r="N79" s="24"/>
    </row>
    <row r="80" s="1" customFormat="1" spans="1:19">
      <c r="A80" s="25" t="s">
        <v>0</v>
      </c>
      <c r="B80" s="11" t="s">
        <v>3</v>
      </c>
      <c r="C80" s="11" t="s">
        <v>4</v>
      </c>
      <c r="D80" s="11" t="s">
        <v>31</v>
      </c>
      <c r="E80" s="11" t="s">
        <v>32</v>
      </c>
      <c r="F80" s="11" t="s">
        <v>33</v>
      </c>
      <c r="G80" s="11" t="s">
        <v>34</v>
      </c>
      <c r="H80" s="11" t="s">
        <v>5</v>
      </c>
      <c r="I80" s="11" t="s">
        <v>6</v>
      </c>
      <c r="J80" s="11" t="s">
        <v>7</v>
      </c>
      <c r="K80" s="11" t="s">
        <v>8</v>
      </c>
      <c r="L80" s="11" t="s">
        <v>9</v>
      </c>
      <c r="M80" s="11" t="s">
        <v>10</v>
      </c>
      <c r="N80" s="12" t="s">
        <v>11</v>
      </c>
      <c r="O80" s="11" t="s">
        <v>12</v>
      </c>
      <c r="P80" s="11" t="s">
        <v>35</v>
      </c>
      <c r="Q80" s="11" t="s">
        <v>13</v>
      </c>
      <c r="R80" s="11" t="s">
        <v>14</v>
      </c>
      <c r="S80" s="11" t="s">
        <v>15</v>
      </c>
    </row>
    <row r="81" s="1" customFormat="1" spans="1:19">
      <c r="A81" s="26" t="s">
        <v>54</v>
      </c>
      <c r="B81" s="1">
        <v>806</v>
      </c>
      <c r="C81" s="1">
        <v>1036</v>
      </c>
      <c r="D81" s="1">
        <v>4833091</v>
      </c>
      <c r="E81" s="1">
        <v>14.216</v>
      </c>
      <c r="F81" s="1">
        <v>2.998</v>
      </c>
      <c r="G81" s="1">
        <v>333.529</v>
      </c>
      <c r="H81" s="1">
        <v>0.851432547020119</v>
      </c>
      <c r="I81" s="1">
        <v>0.760617760617761</v>
      </c>
      <c r="J81" s="1">
        <v>0.813962319796633</v>
      </c>
      <c r="K81" s="1">
        <v>0.668598204123138</v>
      </c>
      <c r="L81" s="1">
        <v>0.751542545929417</v>
      </c>
      <c r="M81" s="1">
        <v>0.662777570511252</v>
      </c>
      <c r="N81" s="13">
        <v>0.647599845854835</v>
      </c>
      <c r="O81" s="1">
        <v>0.215993054794625</v>
      </c>
      <c r="P81" s="16">
        <f>2*L81*M81/(L81+M81)</f>
        <v>0.704374542844644</v>
      </c>
      <c r="Q81" s="1">
        <v>0.580239662911808</v>
      </c>
      <c r="R81" s="1">
        <v>0.987730698730207</v>
      </c>
      <c r="S81" s="1">
        <v>0.783985180821008</v>
      </c>
    </row>
    <row r="82" s="1" customFormat="1" spans="1:19">
      <c r="A82" s="26" t="s">
        <v>36</v>
      </c>
      <c r="B82" s="1">
        <v>806</v>
      </c>
      <c r="C82" s="1">
        <v>1036</v>
      </c>
      <c r="D82" s="1">
        <v>4833091</v>
      </c>
      <c r="E82" s="1">
        <v>14.216</v>
      </c>
      <c r="F82" s="1">
        <v>2.953</v>
      </c>
      <c r="G82" s="1">
        <v>338.691</v>
      </c>
      <c r="H82" s="1">
        <v>0.890957543276051</v>
      </c>
      <c r="I82" s="1">
        <v>0.753861003861004</v>
      </c>
      <c r="J82" s="1">
        <v>0.810169993549549</v>
      </c>
      <c r="K82" s="1">
        <v>0.662520073774205</v>
      </c>
      <c r="L82" s="1">
        <v>0.780163706925213</v>
      </c>
      <c r="M82" s="1">
        <v>0.673745173745174</v>
      </c>
      <c r="N82" s="13">
        <v>0.645925193843978</v>
      </c>
      <c r="O82" s="1">
        <v>0.210677541207491</v>
      </c>
      <c r="P82" s="16">
        <f t="shared" ref="P82:P92" si="13">2*L82*M82/(L82+M82)</f>
        <v>0.723059800046949</v>
      </c>
      <c r="Q82" s="1">
        <v>0.578961240333885</v>
      </c>
      <c r="R82" s="1">
        <v>0.98779028287682</v>
      </c>
      <c r="S82" s="1">
        <v>0.783375761605352</v>
      </c>
    </row>
    <row r="83" s="1" customFormat="1" spans="1:19">
      <c r="A83" s="26" t="s">
        <v>51</v>
      </c>
      <c r="B83" s="1">
        <v>806</v>
      </c>
      <c r="C83" s="1">
        <v>1036</v>
      </c>
      <c r="D83" s="1">
        <v>4833091</v>
      </c>
      <c r="E83" s="1">
        <v>14.216</v>
      </c>
      <c r="F83" s="1">
        <v>2.969</v>
      </c>
      <c r="G83" s="1">
        <v>336.785</v>
      </c>
      <c r="H83" s="1">
        <v>0.849618286237504</v>
      </c>
      <c r="I83" s="1">
        <v>0.763479045594445</v>
      </c>
      <c r="J83" s="1">
        <v>0.808413512376268</v>
      </c>
      <c r="K83" s="1">
        <v>0.66085368595471</v>
      </c>
      <c r="L83" s="1">
        <v>0.778795169655143</v>
      </c>
      <c r="M83" s="1">
        <v>0.652484403630732</v>
      </c>
      <c r="N83" s="13">
        <v>0.638465972847261</v>
      </c>
      <c r="O83" s="1">
        <v>0.209532225023231</v>
      </c>
      <c r="P83" s="16">
        <f t="shared" si="13"/>
        <v>0.710066308927104</v>
      </c>
      <c r="Q83" s="1">
        <v>0.575450709154707</v>
      </c>
      <c r="R83" s="1">
        <v>0.987693669357828</v>
      </c>
      <c r="S83" s="1">
        <v>0.781572189256267</v>
      </c>
    </row>
    <row r="84" s="1" customFormat="1" spans="1:19">
      <c r="A84" s="26" t="s">
        <v>55</v>
      </c>
      <c r="B84" s="1">
        <v>806</v>
      </c>
      <c r="C84" s="1">
        <v>1036</v>
      </c>
      <c r="D84" s="1">
        <v>4686659</v>
      </c>
      <c r="E84" s="1">
        <v>14.098</v>
      </c>
      <c r="F84" s="1">
        <v>2.869</v>
      </c>
      <c r="G84" s="1">
        <v>348.525</v>
      </c>
      <c r="H84" s="1">
        <v>0.847312489224767</v>
      </c>
      <c r="I84" s="1">
        <v>0.772200772200772</v>
      </c>
      <c r="J84" s="1">
        <v>0.81189418158263</v>
      </c>
      <c r="K84" s="1">
        <v>0.659512636233413</v>
      </c>
      <c r="L84" s="1">
        <v>0.749077451033591</v>
      </c>
      <c r="M84" s="1">
        <v>0.667953667953668</v>
      </c>
      <c r="N84" s="13">
        <v>0.636500454694715</v>
      </c>
      <c r="O84" s="1">
        <v>0.210205335164354</v>
      </c>
      <c r="P84" s="16">
        <f t="shared" si="13"/>
        <v>0.706193426940217</v>
      </c>
      <c r="Q84" s="1">
        <v>0.577688510617522</v>
      </c>
      <c r="R84" s="1">
        <v>0.987573267716689</v>
      </c>
      <c r="S84" s="1">
        <v>0.782630889167106</v>
      </c>
    </row>
    <row r="85" s="1" customFormat="1" spans="1:19">
      <c r="A85" s="26" t="s">
        <v>37</v>
      </c>
      <c r="B85" s="1">
        <v>806</v>
      </c>
      <c r="C85" s="1">
        <v>1036</v>
      </c>
      <c r="D85" s="1">
        <v>4686659</v>
      </c>
      <c r="E85" s="1">
        <v>14.098</v>
      </c>
      <c r="F85" s="1">
        <v>2.869</v>
      </c>
      <c r="G85" s="1">
        <v>348.593</v>
      </c>
      <c r="H85" s="1">
        <v>0.847838344213255</v>
      </c>
      <c r="I85" s="1">
        <v>0.77448087411234</v>
      </c>
      <c r="J85" s="1">
        <v>0.814531870680736</v>
      </c>
      <c r="K85" s="1">
        <v>0.666294663332897</v>
      </c>
      <c r="L85" s="1">
        <v>0.753312192746447</v>
      </c>
      <c r="M85" s="1">
        <v>0.677606177606178</v>
      </c>
      <c r="N85" s="13">
        <v>0.645168664777306</v>
      </c>
      <c r="O85" s="1">
        <v>0.211256047901157</v>
      </c>
      <c r="P85" s="16">
        <f t="shared" si="13"/>
        <v>0.713456485075745</v>
      </c>
      <c r="Q85" s="1">
        <v>0.54551665775996</v>
      </c>
      <c r="R85" s="1">
        <v>0.985663239982646</v>
      </c>
      <c r="S85" s="1">
        <v>0.765589948871303</v>
      </c>
    </row>
    <row r="86" s="1" customFormat="1" spans="1:19">
      <c r="A86" s="26" t="s">
        <v>49</v>
      </c>
      <c r="B86" s="1">
        <v>806</v>
      </c>
      <c r="C86" s="1">
        <v>1036</v>
      </c>
      <c r="D86" s="1">
        <v>4686659</v>
      </c>
      <c r="E86" s="1">
        <v>14.098</v>
      </c>
      <c r="F86" s="1">
        <v>2.872</v>
      </c>
      <c r="G86" s="1">
        <v>348.152</v>
      </c>
      <c r="H86" s="1">
        <v>0.856115868826349</v>
      </c>
      <c r="I86" s="1">
        <v>0.761583011583012</v>
      </c>
      <c r="J86" s="1">
        <v>0.812916229481452</v>
      </c>
      <c r="K86" s="1">
        <v>0.671696375649032</v>
      </c>
      <c r="L86" s="1">
        <v>0.76390714170082</v>
      </c>
      <c r="M86" s="1">
        <v>0.66023166023166</v>
      </c>
      <c r="N86" s="13">
        <v>0.639729785444718</v>
      </c>
      <c r="O86" s="1">
        <v>0.210407214903393</v>
      </c>
      <c r="P86" s="16">
        <f t="shared" si="13"/>
        <v>0.708295679808135</v>
      </c>
      <c r="Q86" s="1">
        <v>0.563347339347022</v>
      </c>
      <c r="R86" s="1">
        <v>0.986710899877197</v>
      </c>
      <c r="S86" s="1">
        <v>0.775029119612109</v>
      </c>
    </row>
    <row r="87" s="1" customFormat="1" spans="1:19">
      <c r="A87" s="26" t="s">
        <v>56</v>
      </c>
      <c r="B87" s="1">
        <v>806</v>
      </c>
      <c r="C87" s="1">
        <v>1036</v>
      </c>
      <c r="D87" s="1">
        <v>3410243</v>
      </c>
      <c r="E87" s="1">
        <v>11.598</v>
      </c>
      <c r="F87" s="1">
        <v>2.597</v>
      </c>
      <c r="G87" s="1">
        <v>385.018</v>
      </c>
      <c r="H87" s="1">
        <v>0.871366890850399</v>
      </c>
      <c r="I87" s="1">
        <v>0.751945529428656</v>
      </c>
      <c r="J87" s="1">
        <v>0.82149509684863</v>
      </c>
      <c r="K87" s="1">
        <v>0.662723515434289</v>
      </c>
      <c r="L87" s="1">
        <v>0.777017056501247</v>
      </c>
      <c r="M87" s="1">
        <v>0.655894435993114</v>
      </c>
      <c r="N87" s="13">
        <v>0.651012778529277</v>
      </c>
      <c r="O87" s="1">
        <v>0.209758292131631</v>
      </c>
      <c r="P87" s="16">
        <f t="shared" si="13"/>
        <v>0.711336557352541</v>
      </c>
      <c r="Q87" s="1">
        <v>0.563608957859705</v>
      </c>
      <c r="R87" s="1">
        <v>0.98703425659589</v>
      </c>
      <c r="S87" s="1">
        <v>0.775321607227797</v>
      </c>
    </row>
    <row r="88" s="1" customFormat="1" spans="1:19">
      <c r="A88" s="26" t="s">
        <v>42</v>
      </c>
      <c r="B88" s="1">
        <v>806</v>
      </c>
      <c r="C88" s="1">
        <v>1036</v>
      </c>
      <c r="D88" s="1">
        <v>3410243</v>
      </c>
      <c r="E88" s="1">
        <v>11.598</v>
      </c>
      <c r="F88" s="1">
        <v>2.594</v>
      </c>
      <c r="G88" s="1">
        <v>385.472</v>
      </c>
      <c r="H88" s="1">
        <v>0.831289904000743</v>
      </c>
      <c r="I88" s="1">
        <v>0.774131274131274</v>
      </c>
      <c r="J88" s="1">
        <v>0.818509964871148</v>
      </c>
      <c r="K88" s="1">
        <v>0.661518746340506</v>
      </c>
      <c r="L88" s="1">
        <v>0.761831154665954</v>
      </c>
      <c r="M88" s="1">
        <v>0.659266409266409</v>
      </c>
      <c r="N88" s="13">
        <v>0.640178675627544</v>
      </c>
      <c r="O88" s="1">
        <v>0.20530929561641</v>
      </c>
      <c r="P88" s="16">
        <f t="shared" si="13"/>
        <v>0.706847583939438</v>
      </c>
      <c r="Q88" s="1">
        <v>0.562842948131308</v>
      </c>
      <c r="R88" s="1">
        <v>0.986974266276978</v>
      </c>
      <c r="S88" s="1">
        <v>0.774908607204143</v>
      </c>
    </row>
    <row r="89" s="1" customFormat="1" spans="1:19">
      <c r="A89" s="26" t="s">
        <v>52</v>
      </c>
      <c r="B89" s="1">
        <v>806</v>
      </c>
      <c r="C89" s="1">
        <v>1036</v>
      </c>
      <c r="D89" s="1">
        <v>3410243</v>
      </c>
      <c r="E89" s="1">
        <v>11.598</v>
      </c>
      <c r="F89" s="1">
        <v>2.594</v>
      </c>
      <c r="G89" s="1">
        <v>385.445</v>
      </c>
      <c r="H89" s="1">
        <v>0.841388982899331</v>
      </c>
      <c r="I89" s="1">
        <v>0.747578363769114</v>
      </c>
      <c r="J89" s="1">
        <v>0.7907180340901</v>
      </c>
      <c r="K89" s="1">
        <v>0.637496823780668</v>
      </c>
      <c r="L89" s="1">
        <v>0.763967533967623</v>
      </c>
      <c r="M89" s="1">
        <v>0.666023166023166</v>
      </c>
      <c r="N89" s="13">
        <v>0.624324319457586</v>
      </c>
      <c r="O89" s="1">
        <v>0.204258993014288</v>
      </c>
      <c r="P89" s="16">
        <f t="shared" si="13"/>
        <v>0.711641097687285</v>
      </c>
      <c r="Q89" s="1">
        <v>0.565960042244147</v>
      </c>
      <c r="R89" s="1">
        <v>0.987085533665554</v>
      </c>
      <c r="S89" s="1">
        <v>0.77652278795485</v>
      </c>
    </row>
    <row r="90" s="1" customFormat="1" spans="1:19">
      <c r="A90" s="26" t="s">
        <v>57</v>
      </c>
      <c r="B90" s="1">
        <v>806</v>
      </c>
      <c r="C90" s="1">
        <v>1036</v>
      </c>
      <c r="D90" s="1">
        <v>3263811</v>
      </c>
      <c r="E90" s="1">
        <v>11.48</v>
      </c>
      <c r="F90" s="1">
        <v>2.51</v>
      </c>
      <c r="G90" s="1">
        <v>398.39</v>
      </c>
      <c r="H90" s="1">
        <v>0.857757564430188</v>
      </c>
      <c r="I90" s="1">
        <v>0.764478764478765</v>
      </c>
      <c r="J90" s="1">
        <v>0.79766597907318</v>
      </c>
      <c r="K90" s="1">
        <v>0.633851964442827</v>
      </c>
      <c r="L90" s="1">
        <v>0.743959641545459</v>
      </c>
      <c r="M90" s="1">
        <v>0.664092664092664</v>
      </c>
      <c r="N90" s="13">
        <v>0.612682385702699</v>
      </c>
      <c r="O90" s="1">
        <v>0.203179819875468</v>
      </c>
      <c r="P90" s="16">
        <f t="shared" si="13"/>
        <v>0.701761061507502</v>
      </c>
      <c r="Q90" s="1">
        <v>0.563437253788546</v>
      </c>
      <c r="R90" s="1">
        <v>0.98669535317932</v>
      </c>
      <c r="S90" s="1">
        <v>0.775066303483933</v>
      </c>
    </row>
    <row r="91" s="1" customFormat="1" spans="1:19">
      <c r="A91" s="26" t="s">
        <v>43</v>
      </c>
      <c r="B91" s="1">
        <v>806</v>
      </c>
      <c r="C91" s="1">
        <v>1036</v>
      </c>
      <c r="D91" s="1">
        <v>3263811</v>
      </c>
      <c r="E91" s="1">
        <v>11.48</v>
      </c>
      <c r="F91" s="1">
        <v>2.505</v>
      </c>
      <c r="G91" s="1">
        <v>399.151</v>
      </c>
      <c r="H91" s="1">
        <v>0.872002121367387</v>
      </c>
      <c r="I91" s="1">
        <v>0.736486486486487</v>
      </c>
      <c r="J91" s="1">
        <v>0.807794336072846</v>
      </c>
      <c r="K91" s="1">
        <v>0.634747499490803</v>
      </c>
      <c r="L91" s="1">
        <v>0.772573308052888</v>
      </c>
      <c r="M91" s="1">
        <v>0.652509652509653</v>
      </c>
      <c r="N91" s="13">
        <v>0.635120725258299</v>
      </c>
      <c r="O91" s="1">
        <v>0.205060166717402</v>
      </c>
      <c r="P91" s="16">
        <f t="shared" si="13"/>
        <v>0.707483781262571</v>
      </c>
      <c r="Q91" s="1">
        <v>0.549124455947981</v>
      </c>
      <c r="R91" s="1">
        <v>0.986060396840486</v>
      </c>
      <c r="S91" s="1">
        <v>0.767592426394233</v>
      </c>
    </row>
    <row r="92" s="1" customFormat="1" spans="1:19">
      <c r="A92" s="26" t="s">
        <v>50</v>
      </c>
      <c r="B92" s="1">
        <v>806</v>
      </c>
      <c r="C92" s="1">
        <v>1036</v>
      </c>
      <c r="D92" s="1">
        <v>3263811</v>
      </c>
      <c r="E92" s="1">
        <v>11.48</v>
      </c>
      <c r="F92" s="1">
        <v>2.511</v>
      </c>
      <c r="G92" s="1">
        <v>398.204</v>
      </c>
      <c r="H92" s="1">
        <v>0.846725899758073</v>
      </c>
      <c r="I92" s="1">
        <v>0.743243243243243</v>
      </c>
      <c r="J92" s="1">
        <v>0.795693231148814</v>
      </c>
      <c r="K92" s="1">
        <v>0.625545590374547</v>
      </c>
      <c r="L92" s="1">
        <v>0.780820001120593</v>
      </c>
      <c r="M92" s="1">
        <v>0.656370656370656</v>
      </c>
      <c r="N92" s="13">
        <v>0.641541031533937</v>
      </c>
      <c r="O92" s="1">
        <v>0.206183305388444</v>
      </c>
      <c r="P92" s="16">
        <f t="shared" si="13"/>
        <v>0.713207164228982</v>
      </c>
      <c r="Q92" s="1">
        <v>0.564564461847479</v>
      </c>
      <c r="R92" s="1">
        <v>0.986910587856297</v>
      </c>
      <c r="S92" s="1">
        <v>0.775737524851888</v>
      </c>
    </row>
    <row r="93" spans="1:19">
      <c r="A93" s="27"/>
    </row>
    <row r="94" customFormat="1" spans="1:19">
      <c r="A94" s="26" t="s">
        <v>58</v>
      </c>
      <c r="E94">
        <f t="shared" ref="E94:S94" si="14">SUM(E90+E91+E92)/3</f>
        <v>11.48</v>
      </c>
      <c r="F94">
        <f t="shared" si="14"/>
        <v>2.50866666666667</v>
      </c>
      <c r="G94">
        <f t="shared" si="14"/>
        <v>398.581666666667</v>
      </c>
      <c r="H94">
        <f t="shared" si="14"/>
        <v>0.858828528518549</v>
      </c>
      <c r="I94">
        <f t="shared" si="14"/>
        <v>0.748069498069498</v>
      </c>
      <c r="J94">
        <f t="shared" si="14"/>
        <v>0.800384515431613</v>
      </c>
      <c r="K94">
        <f t="shared" si="14"/>
        <v>0.631381684769392</v>
      </c>
      <c r="L94">
        <f t="shared" si="14"/>
        <v>0.765784316906314</v>
      </c>
      <c r="M94">
        <f t="shared" si="14"/>
        <v>0.657657657657658</v>
      </c>
      <c r="N94" s="10">
        <f t="shared" si="14"/>
        <v>0.629781380831645</v>
      </c>
      <c r="O94">
        <f t="shared" si="14"/>
        <v>0.204807763993772</v>
      </c>
      <c r="P94">
        <f t="shared" si="14"/>
        <v>0.707484002333019</v>
      </c>
      <c r="Q94">
        <f t="shared" si="14"/>
        <v>0.559042057194669</v>
      </c>
      <c r="R94">
        <f t="shared" si="14"/>
        <v>0.986555445958701</v>
      </c>
      <c r="S94">
        <f t="shared" si="14"/>
        <v>0.772798751576685</v>
      </c>
    </row>
    <row r="95" customFormat="1" spans="1:19">
      <c r="A95" s="26" t="s">
        <v>59</v>
      </c>
      <c r="E95">
        <f t="shared" ref="E95:S95" si="15">SUM(E89+E88+E87)/3</f>
        <v>11.598</v>
      </c>
      <c r="F95">
        <f t="shared" si="15"/>
        <v>2.595</v>
      </c>
      <c r="G95">
        <f t="shared" si="15"/>
        <v>385.311666666667</v>
      </c>
      <c r="H95">
        <f t="shared" si="15"/>
        <v>0.848015259250158</v>
      </c>
      <c r="I95">
        <f t="shared" si="15"/>
        <v>0.757885055776348</v>
      </c>
      <c r="J95">
        <f t="shared" si="15"/>
        <v>0.810241031936626</v>
      </c>
      <c r="K95">
        <f t="shared" si="15"/>
        <v>0.653913028518488</v>
      </c>
      <c r="L95">
        <f t="shared" si="15"/>
        <v>0.767605248378275</v>
      </c>
      <c r="M95">
        <f t="shared" si="15"/>
        <v>0.660394670427563</v>
      </c>
      <c r="N95" s="10">
        <f t="shared" si="15"/>
        <v>0.638505257871469</v>
      </c>
      <c r="O95">
        <f t="shared" si="15"/>
        <v>0.206442193587443</v>
      </c>
      <c r="P95">
        <f t="shared" si="15"/>
        <v>0.709941746326421</v>
      </c>
      <c r="Q95">
        <f t="shared" si="15"/>
        <v>0.564137316078386</v>
      </c>
      <c r="R95">
        <f t="shared" si="15"/>
        <v>0.987031352179474</v>
      </c>
      <c r="S95">
        <f t="shared" si="15"/>
        <v>0.77558433412893</v>
      </c>
    </row>
    <row r="96" customFormat="1" spans="1:19">
      <c r="A96" s="26" t="s">
        <v>60</v>
      </c>
      <c r="E96">
        <f t="shared" ref="E96:S96" si="16">SUM(E86+E85+E84)/3</f>
        <v>14.098</v>
      </c>
      <c r="F96">
        <f t="shared" si="16"/>
        <v>2.87</v>
      </c>
      <c r="G96">
        <f t="shared" si="16"/>
        <v>348.423333333333</v>
      </c>
      <c r="H96">
        <f t="shared" si="16"/>
        <v>0.850422234088124</v>
      </c>
      <c r="I96">
        <f t="shared" si="16"/>
        <v>0.769421552632041</v>
      </c>
      <c r="J96">
        <f t="shared" si="16"/>
        <v>0.813114093914939</v>
      </c>
      <c r="K96">
        <f t="shared" si="16"/>
        <v>0.665834558405114</v>
      </c>
      <c r="L96">
        <f t="shared" si="16"/>
        <v>0.755432261826953</v>
      </c>
      <c r="M96">
        <f t="shared" si="16"/>
        <v>0.668597168597169</v>
      </c>
      <c r="N96" s="10">
        <f t="shared" si="16"/>
        <v>0.640466301638913</v>
      </c>
      <c r="O96">
        <f t="shared" si="16"/>
        <v>0.210622865989635</v>
      </c>
      <c r="P96">
        <f t="shared" si="16"/>
        <v>0.709315197274699</v>
      </c>
      <c r="Q96">
        <f t="shared" si="16"/>
        <v>0.562184169241501</v>
      </c>
      <c r="R96">
        <f t="shared" si="16"/>
        <v>0.986649135858844</v>
      </c>
      <c r="S96">
        <f t="shared" si="16"/>
        <v>0.774416652550173</v>
      </c>
    </row>
    <row r="97" s="8" customFormat="1" ht="14.25" spans="1:19">
      <c r="A97" s="28" t="s">
        <v>61</v>
      </c>
      <c r="E97" s="8">
        <f t="shared" ref="E97:S97" si="17">SUM(E81+E82+E83)/3</f>
        <v>14.216</v>
      </c>
      <c r="F97" s="8">
        <f t="shared" si="17"/>
        <v>2.97333333333333</v>
      </c>
      <c r="G97" s="8">
        <f t="shared" si="17"/>
        <v>336.335</v>
      </c>
      <c r="H97" s="8">
        <f t="shared" si="17"/>
        <v>0.864002792177891</v>
      </c>
      <c r="I97" s="8">
        <f t="shared" si="17"/>
        <v>0.759319270024403</v>
      </c>
      <c r="J97" s="8">
        <f t="shared" si="17"/>
        <v>0.81084860857415</v>
      </c>
      <c r="K97" s="8">
        <f t="shared" si="17"/>
        <v>0.663990654617351</v>
      </c>
      <c r="L97" s="8">
        <f t="shared" si="17"/>
        <v>0.770167140836591</v>
      </c>
      <c r="M97" s="8">
        <f t="shared" si="17"/>
        <v>0.663002382629053</v>
      </c>
      <c r="N97" s="29">
        <f t="shared" si="17"/>
        <v>0.643997004182025</v>
      </c>
      <c r="O97" s="8">
        <f t="shared" si="17"/>
        <v>0.212067607008449</v>
      </c>
      <c r="P97" s="8">
        <f t="shared" si="17"/>
        <v>0.712500217272899</v>
      </c>
      <c r="Q97" s="8">
        <f t="shared" si="17"/>
        <v>0.578217204133467</v>
      </c>
      <c r="R97" s="8">
        <f t="shared" si="17"/>
        <v>0.987738216988285</v>
      </c>
      <c r="S97" s="8">
        <f t="shared" si="17"/>
        <v>0.782977710560876</v>
      </c>
    </row>
    <row r="98" ht="15" spans="1:19">
      <c r="N98" s="30"/>
    </row>
    <row r="99" s="7" customFormat="1" ht="14.25" spans="1:19">
      <c r="A99" s="31" t="s">
        <v>65</v>
      </c>
      <c r="N99" s="24"/>
    </row>
    <row r="100" s="9" customFormat="1" spans="1:19">
      <c r="A100" s="32" t="s">
        <v>54</v>
      </c>
      <c r="B100" s="9">
        <v>806</v>
      </c>
      <c r="C100" s="9">
        <v>1036</v>
      </c>
      <c r="D100" s="9">
        <v>4833091</v>
      </c>
      <c r="E100" s="9">
        <v>14.216</v>
      </c>
      <c r="F100" s="9">
        <v>3.018</v>
      </c>
      <c r="G100" s="9">
        <v>331.386</v>
      </c>
      <c r="H100" s="9">
        <v>0.85821098096392</v>
      </c>
      <c r="I100" s="9">
        <v>0.765355238417294</v>
      </c>
      <c r="J100" s="9">
        <v>0.815701265270015</v>
      </c>
      <c r="K100" s="9">
        <v>0.675652519632177</v>
      </c>
      <c r="L100" s="9">
        <v>0.791576040645996</v>
      </c>
      <c r="M100" s="9">
        <v>0.667201101897496</v>
      </c>
      <c r="N100" s="9">
        <v>0.661842696614875</v>
      </c>
      <c r="O100" s="9">
        <v>0.222220037806253</v>
      </c>
      <c r="P100" s="16">
        <f>2*L100*M100/(L100+M100)</f>
        <v>0.72408648470295</v>
      </c>
      <c r="Q100" s="9">
        <v>0.57805228426777</v>
      </c>
      <c r="R100" s="9">
        <v>0.987724513025249</v>
      </c>
      <c r="S100" s="9">
        <v>0.782888398646509</v>
      </c>
    </row>
    <row r="101" s="9" customFormat="1" spans="1:19">
      <c r="A101" s="32" t="s">
        <v>36</v>
      </c>
      <c r="B101" s="9">
        <v>806</v>
      </c>
      <c r="C101" s="9">
        <v>1036</v>
      </c>
      <c r="D101" s="9">
        <v>4833091</v>
      </c>
      <c r="E101" s="9">
        <v>14.216</v>
      </c>
      <c r="F101" s="9">
        <v>2.935</v>
      </c>
      <c r="G101" s="9">
        <v>340.672</v>
      </c>
      <c r="H101" s="9">
        <v>0.86738707431796</v>
      </c>
      <c r="I101" s="9">
        <v>0.763928744960715</v>
      </c>
      <c r="J101" s="9">
        <v>0.817469959403662</v>
      </c>
      <c r="K101" s="9">
        <v>0.675893988352676</v>
      </c>
      <c r="L101" s="9">
        <v>0.765507531864415</v>
      </c>
      <c r="M101" s="9">
        <v>0.674333523310795</v>
      </c>
      <c r="N101" s="9">
        <v>0.658964001843763</v>
      </c>
      <c r="O101" s="9">
        <v>0.223231991375393</v>
      </c>
      <c r="P101" s="16">
        <f t="shared" ref="P101:P111" si="18">2*L101*M101/(L101+M101)</f>
        <v>0.7170338548518</v>
      </c>
      <c r="Q101" s="9">
        <v>0.578744892073883</v>
      </c>
      <c r="R101" s="9">
        <v>0.987724062193408</v>
      </c>
      <c r="S101" s="9">
        <v>0.783234477133645</v>
      </c>
    </row>
    <row r="102" s="9" customFormat="1" spans="1:19">
      <c r="A102" s="32" t="s">
        <v>51</v>
      </c>
      <c r="B102" s="9">
        <v>806</v>
      </c>
      <c r="C102" s="9">
        <v>1036</v>
      </c>
      <c r="D102" s="9">
        <v>4833091</v>
      </c>
      <c r="E102" s="9">
        <v>14.216</v>
      </c>
      <c r="F102" s="9">
        <v>2.941</v>
      </c>
      <c r="G102" s="9">
        <v>340.058</v>
      </c>
      <c r="H102" s="9">
        <v>0.879076487331014</v>
      </c>
      <c r="I102" s="9">
        <v>0.750827220966201</v>
      </c>
      <c r="J102" s="9">
        <v>0.811931902552884</v>
      </c>
      <c r="K102" s="9">
        <v>0.671120185734219</v>
      </c>
      <c r="L102" s="9">
        <v>0.791703465492569</v>
      </c>
      <c r="M102" s="9">
        <v>0.664047816684021</v>
      </c>
      <c r="N102" s="9">
        <v>0.656490801483427</v>
      </c>
      <c r="O102" s="9">
        <v>0.218574757749754</v>
      </c>
      <c r="P102" s="16">
        <f t="shared" si="18"/>
        <v>0.722278543262503</v>
      </c>
      <c r="Q102" s="9">
        <v>0.577504539054025</v>
      </c>
      <c r="R102" s="9">
        <v>0.987578928149886</v>
      </c>
      <c r="S102" s="9">
        <v>0.782541733601956</v>
      </c>
    </row>
    <row r="103" s="9" customFormat="1" spans="1:19">
      <c r="A103" s="32" t="s">
        <v>55</v>
      </c>
      <c r="B103" s="9">
        <v>806</v>
      </c>
      <c r="C103" s="9">
        <v>1036</v>
      </c>
      <c r="D103" s="9">
        <v>4686659</v>
      </c>
      <c r="E103" s="9">
        <v>14.098</v>
      </c>
      <c r="F103" s="9">
        <v>2.848</v>
      </c>
      <c r="G103" s="9">
        <v>351.132</v>
      </c>
      <c r="H103" s="9">
        <v>0.866394609079065</v>
      </c>
      <c r="I103" s="9">
        <v>0.750965250965251</v>
      </c>
      <c r="J103" s="9">
        <v>0.802992440292441</v>
      </c>
      <c r="K103" s="9">
        <v>0.666739294871631</v>
      </c>
      <c r="L103" s="9">
        <v>0.7789956611967</v>
      </c>
      <c r="M103" s="9">
        <v>0.66988416988417</v>
      </c>
      <c r="N103" s="9">
        <v>0.650678733424774</v>
      </c>
      <c r="O103" s="9">
        <v>0.219301828426543</v>
      </c>
      <c r="P103" s="16">
        <f t="shared" si="18"/>
        <v>0.720331459724758</v>
      </c>
      <c r="Q103" s="9">
        <v>0.580484343526738</v>
      </c>
      <c r="R103" s="9">
        <v>0.987709439063349</v>
      </c>
      <c r="S103" s="9">
        <v>0.784096891295044</v>
      </c>
    </row>
    <row r="104" s="9" customFormat="1" spans="1:19">
      <c r="A104" s="32" t="s">
        <v>37</v>
      </c>
      <c r="B104" s="9">
        <v>806</v>
      </c>
      <c r="C104" s="9">
        <v>1036</v>
      </c>
      <c r="D104" s="9">
        <v>4686659</v>
      </c>
      <c r="E104" s="9">
        <v>14.098</v>
      </c>
      <c r="F104" s="9">
        <v>2.846</v>
      </c>
      <c r="G104" s="9">
        <v>351.309</v>
      </c>
      <c r="H104" s="9">
        <v>0.86902853884489</v>
      </c>
      <c r="I104" s="9">
        <v>0.749348098855783</v>
      </c>
      <c r="J104" s="9">
        <v>0.806788621061818</v>
      </c>
      <c r="K104" s="9">
        <v>0.660264323189302</v>
      </c>
      <c r="L104" s="9">
        <v>0.790572836954565</v>
      </c>
      <c r="M104" s="9">
        <v>0.666807264921868</v>
      </c>
      <c r="N104" s="9">
        <v>0.654618263019662</v>
      </c>
      <c r="O104" s="9">
        <v>0.214423057974505</v>
      </c>
      <c r="P104" s="16">
        <f t="shared" si="18"/>
        <v>0.723434758650069</v>
      </c>
      <c r="Q104" s="9">
        <v>0.543766206461482</v>
      </c>
      <c r="R104" s="9">
        <v>0.985739227201927</v>
      </c>
      <c r="S104" s="9">
        <v>0.764752716831705</v>
      </c>
    </row>
    <row r="105" s="9" customFormat="1" spans="1:19">
      <c r="A105" s="32" t="s">
        <v>49</v>
      </c>
      <c r="B105" s="9">
        <v>806</v>
      </c>
      <c r="C105" s="9">
        <v>1036</v>
      </c>
      <c r="D105" s="9">
        <v>4686659</v>
      </c>
      <c r="E105" s="9">
        <v>14.098</v>
      </c>
      <c r="F105" s="9">
        <v>2.843</v>
      </c>
      <c r="G105" s="9">
        <v>351.733</v>
      </c>
      <c r="H105" s="9">
        <v>0.863595850423256</v>
      </c>
      <c r="I105" s="9">
        <v>0.77992277992278</v>
      </c>
      <c r="J105" s="9">
        <v>0.811947379302503</v>
      </c>
      <c r="K105" s="9">
        <v>0.671040794650885</v>
      </c>
      <c r="L105" s="9">
        <v>0.790409145176469</v>
      </c>
      <c r="M105" s="9">
        <v>0.680501930501931</v>
      </c>
      <c r="N105" s="9">
        <v>0.657764667612606</v>
      </c>
      <c r="O105" s="9">
        <v>0.219491268923963</v>
      </c>
      <c r="P105" s="16">
        <f t="shared" si="18"/>
        <v>0.731349376686003</v>
      </c>
      <c r="Q105" s="9">
        <v>0.576175798793314</v>
      </c>
      <c r="R105" s="9">
        <v>0.987465142888613</v>
      </c>
      <c r="S105" s="9">
        <v>0.781820470840964</v>
      </c>
    </row>
    <row r="106" s="9" customFormat="1" spans="1:19">
      <c r="A106" s="32" t="s">
        <v>56</v>
      </c>
      <c r="B106" s="9">
        <v>806</v>
      </c>
      <c r="C106" s="9">
        <v>1036</v>
      </c>
      <c r="D106" s="9">
        <v>3410243</v>
      </c>
      <c r="E106" s="9">
        <v>11.598</v>
      </c>
      <c r="F106" s="9">
        <v>2.573</v>
      </c>
      <c r="G106" s="9">
        <v>388.685</v>
      </c>
      <c r="H106" s="9">
        <v>0.86007749182511</v>
      </c>
      <c r="I106" s="9">
        <v>0.773166023166023</v>
      </c>
      <c r="J106" s="9">
        <v>0.809121978302149</v>
      </c>
      <c r="K106" s="9">
        <v>0.65958296084663</v>
      </c>
      <c r="L106" s="9">
        <v>0.763370039414673</v>
      </c>
      <c r="M106" s="9">
        <v>0.675717841572105</v>
      </c>
      <c r="N106" s="9">
        <v>0.642366107794497</v>
      </c>
      <c r="O106" s="9">
        <v>0.216688291108972</v>
      </c>
      <c r="P106" s="16">
        <f t="shared" si="18"/>
        <v>0.716874573358782</v>
      </c>
      <c r="Q106" s="9">
        <v>0.581186515760223</v>
      </c>
      <c r="R106" s="9">
        <v>0.988000371649137</v>
      </c>
      <c r="S106" s="9">
        <v>0.78459344370468</v>
      </c>
    </row>
    <row r="107" s="9" customFormat="1" spans="1:19">
      <c r="A107" s="32" t="s">
        <v>42</v>
      </c>
      <c r="B107" s="9">
        <v>806</v>
      </c>
      <c r="C107" s="9">
        <v>1036</v>
      </c>
      <c r="D107" s="9">
        <v>3410243</v>
      </c>
      <c r="E107" s="9">
        <v>11.598</v>
      </c>
      <c r="F107" s="9">
        <v>2.574</v>
      </c>
      <c r="G107" s="9">
        <v>388.547</v>
      </c>
      <c r="H107" s="9">
        <v>0.872539521439593</v>
      </c>
      <c r="I107" s="9">
        <v>0.759884803170025</v>
      </c>
      <c r="J107" s="9">
        <v>0.805507865075763</v>
      </c>
      <c r="K107" s="9">
        <v>0.656772798105916</v>
      </c>
      <c r="L107" s="9">
        <v>0.760349582605982</v>
      </c>
      <c r="M107" s="9">
        <v>0.673748870519814</v>
      </c>
      <c r="N107" s="9">
        <v>0.634955935701154</v>
      </c>
      <c r="O107" s="9">
        <v>0.217532465755969</v>
      </c>
      <c r="P107" s="16">
        <f t="shared" si="18"/>
        <v>0.714434453735591</v>
      </c>
      <c r="Q107" s="9">
        <v>0.574724240998866</v>
      </c>
      <c r="R107" s="9">
        <v>0.987469908580552</v>
      </c>
      <c r="S107" s="9">
        <v>0.781097074789709</v>
      </c>
    </row>
    <row r="108" s="9" customFormat="1" spans="1:19">
      <c r="A108" s="32" t="s">
        <v>52</v>
      </c>
      <c r="B108" s="9">
        <v>806</v>
      </c>
      <c r="C108" s="9">
        <v>1036</v>
      </c>
      <c r="D108" s="9">
        <v>3410243</v>
      </c>
      <c r="E108" s="9">
        <v>11.598</v>
      </c>
      <c r="F108" s="9">
        <v>2.577</v>
      </c>
      <c r="G108" s="9">
        <v>388.103</v>
      </c>
      <c r="H108" s="9">
        <v>0.865499714571418</v>
      </c>
      <c r="I108" s="9">
        <v>0.748069498069498</v>
      </c>
      <c r="J108" s="9">
        <v>0.795797919659427</v>
      </c>
      <c r="K108" s="9">
        <v>0.644439740889274</v>
      </c>
      <c r="L108" s="9">
        <v>0.773449859131263</v>
      </c>
      <c r="M108" s="9">
        <v>0.665670951878282</v>
      </c>
      <c r="N108" s="9">
        <v>0.635299931438739</v>
      </c>
      <c r="O108" s="9">
        <v>0.208409194383621</v>
      </c>
      <c r="P108" s="16">
        <f t="shared" si="18"/>
        <v>0.715524506378104</v>
      </c>
      <c r="Q108" s="9">
        <v>0.584184244686573</v>
      </c>
      <c r="R108" s="9">
        <v>0.988132001892962</v>
      </c>
      <c r="S108" s="9">
        <v>0.786158123289767</v>
      </c>
    </row>
    <row r="109" s="9" customFormat="1" spans="1:19">
      <c r="A109" s="32" t="s">
        <v>57</v>
      </c>
      <c r="B109" s="9">
        <v>806</v>
      </c>
      <c r="C109" s="9">
        <v>1036</v>
      </c>
      <c r="D109" s="9">
        <v>3263811</v>
      </c>
      <c r="E109" s="9">
        <v>11.48</v>
      </c>
      <c r="F109" s="9">
        <v>2.489</v>
      </c>
      <c r="G109" s="9">
        <v>401.845</v>
      </c>
      <c r="H109" s="9">
        <v>0.870462654340767</v>
      </c>
      <c r="I109" s="9">
        <v>0.765380579437204</v>
      </c>
      <c r="J109" s="9">
        <v>0.822368628088905</v>
      </c>
      <c r="K109" s="9">
        <v>0.65130453268311</v>
      </c>
      <c r="L109" s="9">
        <v>0.77898821418013</v>
      </c>
      <c r="M109" s="9">
        <v>0.683835940412137</v>
      </c>
      <c r="N109" s="9">
        <v>0.663234697244321</v>
      </c>
      <c r="O109" s="9">
        <v>0.218099419840826</v>
      </c>
      <c r="P109" s="16">
        <f t="shared" si="18"/>
        <v>0.728317393914404</v>
      </c>
      <c r="Q109" s="9">
        <v>0.571115338391017</v>
      </c>
      <c r="R109" s="9">
        <v>0.987188332072913</v>
      </c>
      <c r="S109" s="9">
        <v>0.779151835231965</v>
      </c>
    </row>
    <row r="110" s="9" customFormat="1" spans="1:19">
      <c r="A110" s="32" t="s">
        <v>43</v>
      </c>
      <c r="B110" s="9">
        <v>806</v>
      </c>
      <c r="C110" s="9">
        <v>1036</v>
      </c>
      <c r="D110" s="9">
        <v>3263811</v>
      </c>
      <c r="E110" s="9">
        <v>11.48</v>
      </c>
      <c r="F110" s="9">
        <v>2.49</v>
      </c>
      <c r="G110" s="9">
        <v>401.577</v>
      </c>
      <c r="H110" s="9">
        <v>0.867677193903723</v>
      </c>
      <c r="I110" s="9">
        <v>0.763513513513513</v>
      </c>
      <c r="J110" s="9">
        <v>0.794002915085198</v>
      </c>
      <c r="K110" s="9">
        <v>0.636666171366866</v>
      </c>
      <c r="L110" s="9">
        <v>0.773955448169066</v>
      </c>
      <c r="M110" s="9">
        <v>0.664092664092664</v>
      </c>
      <c r="N110" s="9">
        <v>0.630494335369401</v>
      </c>
      <c r="O110" s="9">
        <v>0.211095955239733</v>
      </c>
      <c r="P110" s="16">
        <f t="shared" si="18"/>
        <v>0.714827454076281</v>
      </c>
      <c r="Q110" s="9">
        <v>0.572946933086823</v>
      </c>
      <c r="R110" s="9">
        <v>0.9873984011684</v>
      </c>
      <c r="S110" s="9">
        <v>0.780172667127611</v>
      </c>
    </row>
    <row r="111" s="9" customFormat="1" spans="1:19">
      <c r="A111" s="32" t="s">
        <v>50</v>
      </c>
      <c r="B111" s="9">
        <v>806</v>
      </c>
      <c r="C111" s="9">
        <v>1036</v>
      </c>
      <c r="D111" s="9">
        <v>3263811</v>
      </c>
      <c r="E111" s="9">
        <v>11.48</v>
      </c>
      <c r="F111" s="9">
        <v>2.494</v>
      </c>
      <c r="G111" s="9">
        <v>400.916</v>
      </c>
      <c r="H111" s="9">
        <v>0.866811148967487</v>
      </c>
      <c r="I111" s="9">
        <v>0.753838165200572</v>
      </c>
      <c r="J111" s="9">
        <v>0.806055534652973</v>
      </c>
      <c r="K111" s="9">
        <v>0.644059492745043</v>
      </c>
      <c r="L111" s="9">
        <v>0.774708524835568</v>
      </c>
      <c r="M111" s="9">
        <v>0.668918918918919</v>
      </c>
      <c r="N111" s="9">
        <v>0.648218124427379</v>
      </c>
      <c r="O111" s="9">
        <v>0.215089202957439</v>
      </c>
      <c r="P111" s="16">
        <f t="shared" si="18"/>
        <v>0.717937569214582</v>
      </c>
      <c r="Q111" s="9">
        <v>0.564163230189491</v>
      </c>
      <c r="R111" s="9">
        <v>0.986864622525374</v>
      </c>
      <c r="S111" s="9">
        <v>0.775513926357433</v>
      </c>
    </row>
    <row r="112" spans="1:19">
      <c r="A112" s="33"/>
    </row>
    <row r="113" customFormat="1" spans="1:19">
      <c r="A113" s="34" t="s">
        <v>58</v>
      </c>
      <c r="E113">
        <f t="shared" ref="E113:S113" si="19">SUM(E109+E110+E111)/3</f>
        <v>11.48</v>
      </c>
      <c r="F113">
        <f t="shared" si="19"/>
        <v>2.491</v>
      </c>
      <c r="G113">
        <f t="shared" si="19"/>
        <v>401.446</v>
      </c>
      <c r="H113">
        <f t="shared" si="19"/>
        <v>0.868316999070659</v>
      </c>
      <c r="I113">
        <f t="shared" si="19"/>
        <v>0.760910752717097</v>
      </c>
      <c r="J113">
        <f t="shared" si="19"/>
        <v>0.807475692609025</v>
      </c>
      <c r="K113">
        <f t="shared" si="19"/>
        <v>0.64401006559834</v>
      </c>
      <c r="L113">
        <f t="shared" si="19"/>
        <v>0.775884062394921</v>
      </c>
      <c r="M113">
        <f t="shared" si="19"/>
        <v>0.672282507807907</v>
      </c>
      <c r="N113" s="10">
        <f t="shared" si="19"/>
        <v>0.6473157190137</v>
      </c>
      <c r="O113">
        <f t="shared" si="19"/>
        <v>0.214761526012666</v>
      </c>
      <c r="P113">
        <f t="shared" si="19"/>
        <v>0.720360805735089</v>
      </c>
      <c r="Q113">
        <f t="shared" si="19"/>
        <v>0.569408500555777</v>
      </c>
      <c r="R113">
        <f t="shared" si="19"/>
        <v>0.987150451922229</v>
      </c>
      <c r="S113">
        <f t="shared" si="19"/>
        <v>0.778279476239003</v>
      </c>
    </row>
    <row r="114" customFormat="1" spans="1:19">
      <c r="A114" s="34" t="s">
        <v>59</v>
      </c>
      <c r="E114">
        <f t="shared" ref="E114:S114" si="20">SUM(E108+E107+E106)/3</f>
        <v>11.598</v>
      </c>
      <c r="F114">
        <f t="shared" si="20"/>
        <v>2.57466666666667</v>
      </c>
      <c r="G114">
        <f t="shared" si="20"/>
        <v>388.445</v>
      </c>
      <c r="H114">
        <f t="shared" si="20"/>
        <v>0.866038909278707</v>
      </c>
      <c r="I114">
        <f t="shared" si="20"/>
        <v>0.760373441468515</v>
      </c>
      <c r="J114">
        <f t="shared" si="20"/>
        <v>0.803475921012446</v>
      </c>
      <c r="K114">
        <f t="shared" si="20"/>
        <v>0.653598499947273</v>
      </c>
      <c r="L114">
        <f t="shared" si="20"/>
        <v>0.765723160383973</v>
      </c>
      <c r="M114">
        <f t="shared" si="20"/>
        <v>0.671712554656734</v>
      </c>
      <c r="N114" s="10">
        <f t="shared" si="20"/>
        <v>0.637540658311463</v>
      </c>
      <c r="O114">
        <f t="shared" si="20"/>
        <v>0.214209983749521</v>
      </c>
      <c r="P114">
        <f t="shared" si="20"/>
        <v>0.715611177824159</v>
      </c>
      <c r="Q114">
        <f t="shared" si="20"/>
        <v>0.580031667148554</v>
      </c>
      <c r="R114">
        <f t="shared" si="20"/>
        <v>0.987867427374217</v>
      </c>
      <c r="S114">
        <f t="shared" si="20"/>
        <v>0.783949547261385</v>
      </c>
    </row>
    <row r="115" customFormat="1" spans="1:19">
      <c r="A115" s="34" t="s">
        <v>60</v>
      </c>
      <c r="E115">
        <f t="shared" ref="E115:S115" si="21">SUM(E105+E104+E103)/3</f>
        <v>14.098</v>
      </c>
      <c r="F115">
        <f t="shared" si="21"/>
        <v>2.84566666666667</v>
      </c>
      <c r="G115">
        <f t="shared" si="21"/>
        <v>351.391333333333</v>
      </c>
      <c r="H115">
        <f t="shared" si="21"/>
        <v>0.866339666115737</v>
      </c>
      <c r="I115">
        <f t="shared" si="21"/>
        <v>0.760078709914605</v>
      </c>
      <c r="J115">
        <f t="shared" si="21"/>
        <v>0.807242813552254</v>
      </c>
      <c r="K115">
        <f t="shared" si="21"/>
        <v>0.666014804237273</v>
      </c>
      <c r="L115">
        <f t="shared" si="21"/>
        <v>0.786659214442578</v>
      </c>
      <c r="M115">
        <f t="shared" si="21"/>
        <v>0.672397788435989</v>
      </c>
      <c r="N115" s="10">
        <f t="shared" si="21"/>
        <v>0.654353888019014</v>
      </c>
      <c r="O115">
        <f t="shared" si="21"/>
        <v>0.21773871844167</v>
      </c>
      <c r="P115">
        <f t="shared" si="21"/>
        <v>0.725038531686943</v>
      </c>
      <c r="Q115">
        <f t="shared" si="21"/>
        <v>0.566808782927178</v>
      </c>
      <c r="R115">
        <f t="shared" si="21"/>
        <v>0.986971269717963</v>
      </c>
      <c r="S115">
        <f t="shared" si="21"/>
        <v>0.776890026322571</v>
      </c>
    </row>
    <row r="116" s="8" customFormat="1" ht="14.25" spans="1:19">
      <c r="A116" s="35" t="s">
        <v>61</v>
      </c>
      <c r="E116" s="8">
        <f t="shared" ref="E116:S116" si="22">SUM(E100+E101+E102)/3</f>
        <v>14.216</v>
      </c>
      <c r="F116" s="8">
        <f t="shared" si="22"/>
        <v>2.96466666666667</v>
      </c>
      <c r="G116" s="8">
        <f t="shared" si="22"/>
        <v>337.372</v>
      </c>
      <c r="H116" s="8">
        <f t="shared" si="22"/>
        <v>0.868224847537631</v>
      </c>
      <c r="I116" s="8">
        <f t="shared" si="22"/>
        <v>0.760037068114737</v>
      </c>
      <c r="J116" s="8">
        <f t="shared" si="22"/>
        <v>0.815034375742187</v>
      </c>
      <c r="K116" s="8">
        <f t="shared" si="22"/>
        <v>0.67422223123969</v>
      </c>
      <c r="L116" s="8">
        <f t="shared" si="22"/>
        <v>0.78292901266766</v>
      </c>
      <c r="M116" s="8">
        <f t="shared" si="22"/>
        <v>0.668527480630771</v>
      </c>
      <c r="N116" s="29">
        <f t="shared" si="22"/>
        <v>0.659099166647355</v>
      </c>
      <c r="O116" s="8">
        <f t="shared" si="22"/>
        <v>0.221342262310467</v>
      </c>
      <c r="P116" s="8">
        <f t="shared" si="22"/>
        <v>0.721132960939084</v>
      </c>
      <c r="Q116" s="8">
        <f t="shared" si="22"/>
        <v>0.578100571798559</v>
      </c>
      <c r="R116" s="8">
        <f t="shared" si="22"/>
        <v>0.987675834456181</v>
      </c>
      <c r="S116" s="8">
        <f t="shared" si="22"/>
        <v>0.78288820312737</v>
      </c>
    </row>
    <row r="117" ht="14.25" spans="1:19">
      <c r="N117" s="36"/>
    </row>
    <row r="122" spans="1:19">
      <c r="A122" t="s">
        <v>66</v>
      </c>
    </row>
    <row r="123" s="1" customFormat="1" spans="1:19">
      <c r="A123" s="1" t="s">
        <v>54</v>
      </c>
      <c r="B123" s="1">
        <v>806</v>
      </c>
      <c r="C123" s="1">
        <v>1021</v>
      </c>
      <c r="D123" s="1">
        <v>4833091</v>
      </c>
      <c r="E123" s="1">
        <v>14.216</v>
      </c>
      <c r="F123" s="1">
        <v>3.01</v>
      </c>
      <c r="G123" s="1">
        <v>332.177</v>
      </c>
      <c r="H123" s="1">
        <v>0.8913501072499</v>
      </c>
      <c r="I123" s="1">
        <v>0.765915768854065</v>
      </c>
      <c r="J123" s="1">
        <v>0.838539700378728</v>
      </c>
      <c r="K123" s="1">
        <v>0.685744130157673</v>
      </c>
      <c r="L123" s="1">
        <v>0.745816456707593</v>
      </c>
      <c r="M123" s="1">
        <v>0.693437806072478</v>
      </c>
      <c r="N123" s="13">
        <v>0.644196030725453</v>
      </c>
      <c r="O123" s="1">
        <v>0.20616584370448</v>
      </c>
      <c r="P123" s="1">
        <v>0.564861217435136</v>
      </c>
      <c r="Q123" s="1">
        <v>0.987687733811016</v>
      </c>
      <c r="R123" s="1">
        <v>0.776274475623076</v>
      </c>
    </row>
    <row r="124" s="1" customFormat="1" spans="1:19">
      <c r="A124" s="1" t="s">
        <v>67</v>
      </c>
      <c r="B124" s="1">
        <v>806</v>
      </c>
      <c r="C124" s="1">
        <v>1021</v>
      </c>
      <c r="D124" s="1">
        <v>3263811</v>
      </c>
      <c r="E124" s="1">
        <v>11.48</v>
      </c>
      <c r="F124" s="1">
        <v>2.499</v>
      </c>
      <c r="G124" s="1">
        <v>400.218</v>
      </c>
      <c r="H124" s="1">
        <v>0.887364518230363</v>
      </c>
      <c r="I124" s="1">
        <v>0.763899675684383</v>
      </c>
      <c r="J124" s="1">
        <v>0.816466668507575</v>
      </c>
      <c r="K124" s="1">
        <v>0.647807512783747</v>
      </c>
      <c r="L124" s="1">
        <v>0.779973601207438</v>
      </c>
      <c r="M124" s="1">
        <v>0.659679757799392</v>
      </c>
      <c r="N124" s="13">
        <v>0.633582620950771</v>
      </c>
      <c r="O124" s="1">
        <v>0.204735669125434</v>
      </c>
      <c r="P124" s="1">
        <v>0.566952795101325</v>
      </c>
      <c r="Q124" s="1">
        <v>0.987705567160384</v>
      </c>
      <c r="R124" s="1">
        <v>0.777329181130854</v>
      </c>
    </row>
    <row r="130" s="1" customFormat="1" spans="1:19">
      <c r="A130" s="1" t="s">
        <v>68</v>
      </c>
      <c r="B130" s="1">
        <v>806</v>
      </c>
      <c r="C130" s="1">
        <v>1036</v>
      </c>
      <c r="D130" s="1">
        <v>27240227</v>
      </c>
      <c r="E130" s="1">
        <v>104.729</v>
      </c>
      <c r="F130" s="1">
        <v>15.287</v>
      </c>
      <c r="G130" s="1">
        <v>65.414</v>
      </c>
      <c r="H130" s="1">
        <v>0.880739845393456</v>
      </c>
      <c r="I130" s="1">
        <v>0.781853281853282</v>
      </c>
      <c r="J130" s="1">
        <v>0.823077027102578</v>
      </c>
      <c r="K130" s="1">
        <v>0.683372711384749</v>
      </c>
      <c r="L130" s="1">
        <v>0.801364525993798</v>
      </c>
      <c r="M130" s="1">
        <v>0.711389961389961</v>
      </c>
      <c r="N130" s="1">
        <v>0.686753969162966</v>
      </c>
      <c r="O130" s="1">
        <v>0.237876270827722</v>
      </c>
      <c r="Q130" s="1">
        <v>0.623702196786439</v>
      </c>
      <c r="R130" s="1">
        <v>0.989863658639189</v>
      </c>
      <c r="S130" s="1">
        <v>0.806782927712814</v>
      </c>
    </row>
    <row r="134" ht="14.25" spans="1:19">
      <c r="A134" s="31" t="s">
        <v>69</v>
      </c>
    </row>
    <row r="135" s="9" customFormat="1" spans="1:19">
      <c r="A135" s="9" t="s">
        <v>70</v>
      </c>
      <c r="B135" s="9">
        <v>806</v>
      </c>
      <c r="C135" s="9">
        <v>1036</v>
      </c>
      <c r="D135" s="9">
        <v>4833091</v>
      </c>
      <c r="E135" s="9">
        <v>14.216</v>
      </c>
      <c r="F135" s="9">
        <v>3.073</v>
      </c>
      <c r="G135" s="9">
        <v>325.432</v>
      </c>
      <c r="H135" s="9">
        <v>0.885175374413697</v>
      </c>
      <c r="I135" s="9">
        <v>0.75965250965251</v>
      </c>
      <c r="J135" s="9">
        <v>0.814915645624068</v>
      </c>
      <c r="K135" s="9">
        <v>0.680238886975104</v>
      </c>
      <c r="L135" s="9">
        <v>0.789827931914026</v>
      </c>
      <c r="M135" s="9">
        <v>0.681467181467181</v>
      </c>
      <c r="N135" s="9">
        <v>0.668216988619029</v>
      </c>
      <c r="O135" s="9">
        <v>0.228382836365573</v>
      </c>
      <c r="Q135" s="9">
        <v>0.582824204674216</v>
      </c>
      <c r="R135" s="9">
        <v>0.98779486990565</v>
      </c>
      <c r="S135" s="9">
        <v>0.785309537289933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resultsval</vt:lpstr>
      <vt:lpstr>resulttest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不再见</cp:lastModifiedBy>
  <dcterms:created xsi:type="dcterms:W3CDTF">2026-03-17T07:05:00Z</dcterms:created>
  <dcterms:modified xsi:type="dcterms:W3CDTF">2026-04-21T06:18:27Z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FD23CC84BDA447A69B64D9D7BE564089_12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