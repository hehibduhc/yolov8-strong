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3"/>
  </bookViews>
  <sheets>
    <sheet name="paper数据" sheetId="1" r:id="rId1"/>
    <sheet name="Sheet1" sheetId="2" r:id="rId2"/>
    <sheet name="简单数据val" sheetId="3" r:id="rId3"/>
    <sheet name="简单数据tes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<sst xmlns="http://schemas.openxmlformats.org/spreadsheetml/2006/main" count="260" uniqueCount="79">
  <si>
    <t>name</t>
  </si>
  <si>
    <t>weight_path</t>
  </si>
  <si>
    <t>Class</t>
  </si>
  <si>
    <t>Images</t>
  </si>
  <si>
    <t>Instances</t>
  </si>
  <si>
    <t>Box(P)</t>
  </si>
  <si>
    <t>Box(R)</t>
  </si>
  <si>
    <t>Box(mAP50)</t>
  </si>
  <si>
    <t>Box(mAP50-95)</t>
  </si>
  <si>
    <t>Mask(P)</t>
  </si>
  <si>
    <t>Mask(R)</t>
  </si>
  <si>
    <t>Mask(mAP50)</t>
  </si>
  <si>
    <t>Mask(mAP50-95)</t>
  </si>
  <si>
    <t>IoU_fg</t>
  </si>
  <si>
    <t>IoU_bg</t>
  </si>
  <si>
    <t>mIoU</t>
  </si>
  <si>
    <t>yolov8-seg-mdka-sadilation-sppf-replk-full_seed43</t>
  </si>
  <si>
    <t>D:\yolov8-0301\ultralytics-main\runs\segment\0315_paper_ablation\yolov8-seg-mdka-sadilation-sppf-replk-full_seed43\weights\best.pt</t>
  </si>
  <si>
    <t>all</t>
  </si>
  <si>
    <t>yolov8-seg-mdka-sadilation-sppf-replk-full_seed44</t>
  </si>
  <si>
    <t>D:\yolov8-0301\ultralytics-main\runs\segment\0315_paper_ablation\yolov8-seg-mdka-sadilation-sppf-replk-full_seed44\weights\best.pt</t>
  </si>
  <si>
    <t>yolov8-seg-mdka-sadilation_seed43</t>
  </si>
  <si>
    <t>D:\yolov8-0301\ultralytics-main\runs\segment\0315_paper_ablation\yolov8-seg-mdka-sadilation_seed43\weights\best.pt</t>
  </si>
  <si>
    <t>yolov8-seg-mdka-sadilation_seed44</t>
  </si>
  <si>
    <t>D:\yolov8-0301\ultralytics-main\runs\segment\0315_paper_ablation\yolov8-seg-mdka-sadilation_seed44\weights\best.pt</t>
  </si>
  <si>
    <t>yolov8-seg-spd13-mdka-sadilation-sppf-replk-full_seed43</t>
  </si>
  <si>
    <t>D:\yolov8-0301\ultralytics-main\runs\segment\0315_paper_ablation\yolov8-seg-spd13-mdka-sadilation-sppf-replk-full_seed43\weights\best.pt</t>
  </si>
  <si>
    <t>yolov8-seg-spd13-mdka-sadilation-sppf-replk-full_seed44</t>
  </si>
  <si>
    <t>D:\yolov8-0301\ultralytics-main\runs\segment\0315_paper_ablation\yolov8-seg-spd13-mdka-sadilation-sppf-replk-full_seed44\weights\best.pt</t>
  </si>
  <si>
    <t>yolov8-seg-spd13-mdka-sadilation_seed43</t>
  </si>
  <si>
    <t>D:\yolov8-0301\ultralytics-main\runs\segment\0315_paper_ablation\yolov8-seg-spd13-mdka-sadilation_seed43\weights\best.pt</t>
  </si>
  <si>
    <t>yolov8-seg-spd13-mdka-sadilation_seed44</t>
  </si>
  <si>
    <t>D:\yolov8-0301\ultralytics-main\runs\segment\0315_paper_ablation\yolov8-seg-spd13-mdka-sadilation_seed44\weights\best.pt</t>
  </si>
  <si>
    <t>yolov8-seg-spd13-sppf-replk-full_seed43</t>
  </si>
  <si>
    <t>D:\yolov8-0301\ultralytics-main\runs\segment\0315_paper_ablation\yolov8-seg-spd13-sppf-replk-full_seed43\weights\best.pt</t>
  </si>
  <si>
    <t>yolov8-seg-spd13-sppf-replk-full_seed44</t>
  </si>
  <si>
    <t>D:\yolov8-0301\ultralytics-main\runs\segment\0315_paper_ablation\yolov8-seg-spd13-sppf-replk-full_seed44\weights\best.pt</t>
  </si>
  <si>
    <t>yolov8-seg-spd13_seed43</t>
  </si>
  <si>
    <t>D:\yolov8-0301\ultralytics-main\runs\segment\0315_paper_ablation\yolov8-seg-spd13_seed43\weights\best.pt</t>
  </si>
  <si>
    <t>yolov8-seg-spd13_seed44</t>
  </si>
  <si>
    <t>D:\yolov8-0301\ultralytics-main\runs\segment\0315_paper_ablation\yolov8-seg-spd13_seed44\weights\best.pt</t>
  </si>
  <si>
    <t>yolov8-seg-sppf-replk-full_seed43</t>
  </si>
  <si>
    <t>D:\yolov8-0301\ultralytics-main\runs\segment\0315_paper_ablation\yolov8-seg-sppf-replk-full_seed43\weights\best.pt</t>
  </si>
  <si>
    <t>yolov8-seg-sppf-replk-full_seed44</t>
  </si>
  <si>
    <t>D:\yolov8-0301\ultralytics-main\runs\segment\0315_paper_ablation\yolov8-seg-sppf-replk-full_seed44\weights\best.pt</t>
  </si>
  <si>
    <t>yolov8-seg_seed43</t>
  </si>
  <si>
    <t>D:\yolov8-0301\ultralytics-main\runs\segment\0315_paper_ablation\yolov8-seg_seed43\weights\best.pt</t>
  </si>
  <si>
    <t>yolov8-seg_seed44</t>
  </si>
  <si>
    <t>D:\yolov8-0301\ultralytics-main\runs\segment\0315_paper_ablation\yolov8-seg_seed44\weights\best.pt</t>
  </si>
  <si>
    <t>baseline_paper</t>
  </si>
  <si>
    <t>D:\yolov8-0301\ultralytics-main\runs\segment\0314_paper\baseline_paper\weights\best.pt</t>
  </si>
  <si>
    <t>yolov8-seg-mdka-sadilation-sppf-replk-full</t>
  </si>
  <si>
    <t>D:\yolov8-0301\ultralytics-main\runs\segment\0314_paper\yolov8-seg-mdka-sadilation-sppf-replk-full\weights\best.pt</t>
  </si>
  <si>
    <t>yolov8-seg-mdka-sadilation</t>
  </si>
  <si>
    <t>D:\yolov8-0301\ultralytics-main\runs\segment\0314_paper\yolov8-seg-mdka-sadilation\weights\best.pt</t>
  </si>
  <si>
    <t>yolov8-seg-spd13-mdka-sadilation-sppf-replk-full</t>
  </si>
  <si>
    <t>D:\yolov8-0301\ultralytics-main\runs\segment\0314_paper\yolov8-seg-spd13-mdka-sadilation-sppf-replk-full\weights\best.pt</t>
  </si>
  <si>
    <t>yolov8-seg-spd13-sppf-replk-full</t>
  </si>
  <si>
    <t>D:\yolov8-0301\ultralytics-main\runs\segment\0314_paper\yolov8-seg-spd13-sppf-replk-full\weights\best.pt</t>
  </si>
  <si>
    <t>yolov8-seg-spd13</t>
  </si>
  <si>
    <t>D:\yolov8-0301\ultralytics-main\runs\segment\0314_paper\yolov8-seg-spd13\weights\best.pt</t>
  </si>
  <si>
    <t>yolov8-seg-sppf-replk-full</t>
  </si>
  <si>
    <t>D:\yolov8-0301\ultralytics-main\runs\segment\0314_paper\yolov8-seg-sppf-replk-full\weights\best.pt</t>
  </si>
  <si>
    <t>baseline</t>
  </si>
  <si>
    <t>D:\yolov8-0301\ultralytics-main\runs\segment\baseline\weights\best.pt</t>
  </si>
  <si>
    <t>D:\yolov8-0301\ultralytics-main\runs\segment\neck-mdka-module\yolov8-seg-mdka-sadilation\weights\best.pt</t>
  </si>
  <si>
    <t>D:\yolov8-0301\ultralytics-main\runs\segment\sppf-replk-module\yolov8-seg-mdka-sadilation-sppf-replk-full\weights\best.pt</t>
  </si>
  <si>
    <t>D:\yolov8-0301\ultralytics-main\runs\segment\sppf-replk-module\yolov8-seg-sppf-replk-full\weights\best.pt</t>
  </si>
  <si>
    <t>D:\yolov8-0301\ultralytics-main\runs\segment\0317\yolov8-seg-spd13-mdka-sadilation-sppf-replk-full\weights\best.pt</t>
  </si>
  <si>
    <t>D:\yolov8-0301\ultralytics-main\runs\segment\0317\yolov8-seg-spd13\weights\best.pt</t>
  </si>
  <si>
    <t>yolov8-seg-mdka-sadilation-gated</t>
  </si>
  <si>
    <t>D:\yolov8-0301\ultralytics-main\runs\segment\0318\yolov8-seg-mdka-sadilation-gated\weights\best.pt</t>
  </si>
  <si>
    <t>yolov8-seg-mdka-sadilation-strip-gated-boundary</t>
  </si>
  <si>
    <t>D:\yolov8-0301\ultralytics-main\runs\segment\0318\yolov8-seg-mdka-sadilation-strip-gated-boundary\weights\best.pt</t>
  </si>
  <si>
    <t>yolov8-seg-mdka-sadilation-gated-aask13-sgpsppf</t>
  </si>
  <si>
    <t>D:\yolov8-0301\ultralytics-main\runs\segment\yolov8-seg-mdka-sadilation-gated-aask13-sgpsppf\weights\best.pt</t>
  </si>
  <si>
    <t>D:\yolov8-0301\ultralytics-main\runs\segment\0318\yolov8-seg-spd13-mdka-sadilation-sppf-replk-full\weights\best.pt</t>
  </si>
  <si>
    <t>yolov8-seg-sppf-lska</t>
  </si>
  <si>
    <t>D:\yolov8-0301\ultralytics-main\runs\segment\sppf-LSKA-module\yolov8-seg-sppf-lska\weights\best.pt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</si>
</sst>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0" xfId="0" applyFont="1" applyFill="1" applyAlignment="1"/>
    <xf numFmtId="0" fontId="1" fillId="2" borderId="0" xfId="0" applyFont="1" applyFill="1" applyAlignment="1"/>
    <xf numFmtId="0" fontId="1" fillId="3" borderId="0" xfId="0" applyFont="1" applyFill="1" applyAlignment="1"/>
    <xf numFmtId="0" fontId="2" fillId="0" borderId="1" xfId="0" applyFont="1" applyFill="1" applyBorder="1" applyAlignment="1">
      <alignment horizontal="center" vertical="top"/>
    </xf>
    <xf numFmtId="0" fontId="0" fillId="0" borderId="0" xfId="0" applyFont="1" applyFill="1" applyAlignment="1"/>
    <xf numFmtId="0" fontId="2" fillId="0" borderId="1" xfId="0" applyFont="1" applyFill="1" applyBorder="1" applyAlignment="1">
      <alignment horizontal="center" vertical="top"/>
    </xf>
    <xf numFmtId="0" fontId="0" fillId="0" borderId="1" xfId="0" applyBorder="1"/>
    <xf numFmtId="0" fontId="0" fillId="4" borderId="1" xfId="0" applyFill="1" applyBorder="1"/>
    <xf numFmtId="0" fontId="0" fillId="4" borderId="1" xfId="0" applyFont="1" applyFill="1" applyBorder="1" applyAlignment="1"/>
    <xf numFmtId="0" fontId="0" fillId="0" borderId="1" xfId="0" applyFont="1" applyFill="1" applyBorder="1" applyAlignment="1"/>
    <xf numFmtId="0" fontId="2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0"/>
  <sheetViews>
    <sheetView workbookViewId="0">
      <selection activeCell="A49" sqref="A49"/>
    </sheetView>
  </sheetViews>
  <sheetFormatPr defaultColWidth="9" defaultRowHeight="13.5"/>
  <cols>
    <col min="1" max="1" width="45.125" customWidth="1"/>
    <col min="12" max="12" width="30.75" customWidth="1"/>
    <col min="16" max="16" width="28.5" customWidth="1"/>
  </cols>
  <sheetData>
    <row r="1" spans="1:16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</row>
    <row r="2" spans="1:16">
      <c r="A2" t="s">
        <v>16</v>
      </c>
      <c r="B2" t="s">
        <v>17</v>
      </c>
      <c r="C2" t="s">
        <v>18</v>
      </c>
      <c r="D2">
        <v>805</v>
      </c>
      <c r="E2">
        <v>1057</v>
      </c>
      <c r="F2">
        <v>0.863421977174238</v>
      </c>
      <c r="G2">
        <v>0.749290444654683</v>
      </c>
      <c r="H2">
        <v>0.826715457303655</v>
      </c>
      <c r="I2">
        <v>0.676379047580458</v>
      </c>
      <c r="J2">
        <v>0.762736019393606</v>
      </c>
      <c r="K2">
        <v>0.663197729422895</v>
      </c>
      <c r="L2">
        <v>0.647499545795279</v>
      </c>
      <c r="M2">
        <v>0.203615859153429</v>
      </c>
      <c r="N2">
        <v>0.582380455619961</v>
      </c>
      <c r="O2">
        <v>0.988979430095834</v>
      </c>
      <c r="P2">
        <v>0.785679942857897</v>
      </c>
    </row>
    <row r="3" spans="1:16">
      <c r="A3" t="s">
        <v>19</v>
      </c>
      <c r="B3" t="s">
        <v>20</v>
      </c>
      <c r="C3" t="s">
        <v>18</v>
      </c>
      <c r="D3">
        <v>805</v>
      </c>
      <c r="E3">
        <v>1057</v>
      </c>
      <c r="F3">
        <v>0.86849418883727</v>
      </c>
      <c r="G3">
        <v>0.767265846736045</v>
      </c>
      <c r="H3">
        <v>0.839128811265236</v>
      </c>
      <c r="I3">
        <v>0.684503218993639</v>
      </c>
      <c r="J3">
        <v>0.767014065527569</v>
      </c>
      <c r="K3">
        <v>0.67360454115421</v>
      </c>
      <c r="L3">
        <v>0.648616025158045</v>
      </c>
      <c r="M3">
        <v>0.205181005280539</v>
      </c>
      <c r="N3">
        <v>0.588384971546191</v>
      </c>
      <c r="O3">
        <v>0.989176665813446</v>
      </c>
      <c r="P3">
        <v>0.788780818679818</v>
      </c>
    </row>
    <row r="4" spans="1:16">
      <c r="A4" t="s">
        <v>21</v>
      </c>
      <c r="B4" t="s">
        <v>22</v>
      </c>
      <c r="C4" t="s">
        <v>18</v>
      </c>
      <c r="D4">
        <v>805</v>
      </c>
      <c r="E4">
        <v>1057</v>
      </c>
      <c r="F4">
        <v>0.888306450270405</v>
      </c>
      <c r="G4">
        <v>0.752128666035951</v>
      </c>
      <c r="H4">
        <v>0.831760802950912</v>
      </c>
      <c r="I4">
        <v>0.682036774970718</v>
      </c>
      <c r="J4">
        <v>0.781244703289248</v>
      </c>
      <c r="K4">
        <v>0.661305581835383</v>
      </c>
      <c r="L4">
        <v>0.647785187944173</v>
      </c>
      <c r="M4">
        <v>0.210362722838615</v>
      </c>
      <c r="N4">
        <v>0.578259650682597</v>
      </c>
      <c r="O4">
        <v>0.988635700258438</v>
      </c>
      <c r="P4">
        <v>0.783447675470518</v>
      </c>
    </row>
    <row r="5" spans="1:16">
      <c r="A5" t="s">
        <v>23</v>
      </c>
      <c r="B5" t="s">
        <v>24</v>
      </c>
      <c r="C5" t="s">
        <v>18</v>
      </c>
      <c r="D5">
        <v>805</v>
      </c>
      <c r="E5">
        <v>1057</v>
      </c>
      <c r="F5">
        <v>0.880133038278313</v>
      </c>
      <c r="G5">
        <v>0.757182331277181</v>
      </c>
      <c r="H5">
        <v>0.835562648039773</v>
      </c>
      <c r="I5">
        <v>0.684677096685457</v>
      </c>
      <c r="J5">
        <v>0.777929171749942</v>
      </c>
      <c r="K5">
        <v>0.672774725504349</v>
      </c>
      <c r="L5">
        <v>0.656171683161333</v>
      </c>
      <c r="M5">
        <v>0.205646566712531</v>
      </c>
      <c r="N5">
        <v>0.574234844268113</v>
      </c>
      <c r="O5">
        <v>0.988442896530147</v>
      </c>
      <c r="P5">
        <v>0.78133887039913</v>
      </c>
    </row>
    <row r="6" spans="1:16">
      <c r="A6" t="s">
        <v>25</v>
      </c>
      <c r="B6" t="s">
        <v>26</v>
      </c>
      <c r="C6" t="s">
        <v>18</v>
      </c>
      <c r="D6">
        <v>805</v>
      </c>
      <c r="E6">
        <v>1057</v>
      </c>
      <c r="F6">
        <v>0.864664387348444</v>
      </c>
      <c r="G6">
        <v>0.76158940397351</v>
      </c>
      <c r="H6">
        <v>0.824492656568848</v>
      </c>
      <c r="I6">
        <v>0.675055373663972</v>
      </c>
      <c r="J6">
        <v>0.754228513155044</v>
      </c>
      <c r="K6">
        <v>0.661959550418702</v>
      </c>
      <c r="L6">
        <v>0.627605494754261</v>
      </c>
      <c r="M6">
        <v>0.201645193091721</v>
      </c>
      <c r="N6">
        <v>0.565152844429226</v>
      </c>
      <c r="O6">
        <v>0.987833993676121</v>
      </c>
      <c r="P6">
        <v>0.776493419052673</v>
      </c>
    </row>
    <row r="7" spans="1:16">
      <c r="A7" t="s">
        <v>27</v>
      </c>
      <c r="B7" t="s">
        <v>28</v>
      </c>
      <c r="C7" t="s">
        <v>18</v>
      </c>
      <c r="D7">
        <v>805</v>
      </c>
      <c r="E7">
        <v>1057</v>
      </c>
      <c r="F7">
        <v>0.852269824496975</v>
      </c>
      <c r="G7">
        <v>0.764119127997747</v>
      </c>
      <c r="H7">
        <v>0.835837843053553</v>
      </c>
      <c r="I7">
        <v>0.671722068936833</v>
      </c>
      <c r="J7">
        <v>0.767938504047817</v>
      </c>
      <c r="K7">
        <v>0.670766319772942</v>
      </c>
      <c r="L7">
        <v>0.660767754142457</v>
      </c>
      <c r="M7">
        <v>0.202565723491405</v>
      </c>
      <c r="N7">
        <v>0.572959114120013</v>
      </c>
      <c r="O7">
        <v>0.988378059403221</v>
      </c>
      <c r="P7">
        <v>0.780668586761617</v>
      </c>
    </row>
    <row r="8" spans="1:16">
      <c r="A8" t="s">
        <v>29</v>
      </c>
      <c r="B8" t="s">
        <v>30</v>
      </c>
      <c r="C8" t="s">
        <v>18</v>
      </c>
      <c r="D8">
        <v>805</v>
      </c>
      <c r="E8">
        <v>1057</v>
      </c>
      <c r="F8">
        <v>0.86078098699884</v>
      </c>
      <c r="G8">
        <v>0.783833936102229</v>
      </c>
      <c r="H8">
        <v>0.843506288293197</v>
      </c>
      <c r="I8">
        <v>0.680672833662391</v>
      </c>
      <c r="J8">
        <v>0.743104823437563</v>
      </c>
      <c r="K8">
        <v>0.686849574266793</v>
      </c>
      <c r="L8">
        <v>0.644327693428898</v>
      </c>
      <c r="M8">
        <v>0.196629598306575</v>
      </c>
      <c r="N8">
        <v>0.561017175323906</v>
      </c>
      <c r="O8">
        <v>0.987794846171457</v>
      </c>
      <c r="P8">
        <v>0.774406010747682</v>
      </c>
    </row>
    <row r="9" spans="1:16">
      <c r="A9" t="s">
        <v>31</v>
      </c>
      <c r="B9" t="s">
        <v>32</v>
      </c>
      <c r="C9" t="s">
        <v>18</v>
      </c>
      <c r="D9">
        <v>805</v>
      </c>
      <c r="E9">
        <v>1057</v>
      </c>
      <c r="F9">
        <v>0.862591176567742</v>
      </c>
      <c r="G9">
        <v>0.766134824167335</v>
      </c>
      <c r="H9">
        <v>0.830691886199536</v>
      </c>
      <c r="I9">
        <v>0.677055217831204</v>
      </c>
      <c r="J9">
        <v>0.769010740703997</v>
      </c>
      <c r="K9">
        <v>0.642533677874859</v>
      </c>
      <c r="L9">
        <v>0.614698992262894</v>
      </c>
      <c r="M9">
        <v>0.196014144862994</v>
      </c>
      <c r="N9">
        <v>0.448486892390327</v>
      </c>
      <c r="O9">
        <v>0.981070873302135</v>
      </c>
      <c r="P9">
        <v>0.714778882846231</v>
      </c>
    </row>
    <row r="10" spans="1:16">
      <c r="A10" t="s">
        <v>33</v>
      </c>
      <c r="B10" t="s">
        <v>34</v>
      </c>
      <c r="C10" t="s">
        <v>18</v>
      </c>
      <c r="D10">
        <v>805</v>
      </c>
      <c r="E10">
        <v>1057</v>
      </c>
      <c r="F10">
        <v>0.878848944506887</v>
      </c>
      <c r="G10">
        <v>0.7360454115421</v>
      </c>
      <c r="H10">
        <v>0.820022281938549</v>
      </c>
      <c r="I10">
        <v>0.661849485049006</v>
      </c>
      <c r="J10">
        <v>0.746912205765785</v>
      </c>
      <c r="K10">
        <v>0.647756089540576</v>
      </c>
      <c r="L10">
        <v>0.622040378419594</v>
      </c>
      <c r="M10">
        <v>0.199895096941081</v>
      </c>
      <c r="N10">
        <v>0.56021172777473</v>
      </c>
      <c r="O10">
        <v>0.98803044125448</v>
      </c>
      <c r="P10">
        <v>0.774121084514605</v>
      </c>
    </row>
    <row r="11" spans="1:16">
      <c r="A11" t="s">
        <v>35</v>
      </c>
      <c r="B11" t="s">
        <v>36</v>
      </c>
      <c r="C11" t="s">
        <v>18</v>
      </c>
      <c r="D11">
        <v>805</v>
      </c>
      <c r="E11">
        <v>1057</v>
      </c>
      <c r="F11">
        <v>0.856144806109716</v>
      </c>
      <c r="G11">
        <v>0.766319772942289</v>
      </c>
      <c r="H11">
        <v>0.838419123787085</v>
      </c>
      <c r="I11">
        <v>0.667873862442901</v>
      </c>
      <c r="J11">
        <v>0.748471644076932</v>
      </c>
      <c r="K11">
        <v>0.664393757570068</v>
      </c>
      <c r="L11">
        <v>0.640024798147117</v>
      </c>
      <c r="M11">
        <v>0.203429097661163</v>
      </c>
      <c r="N11">
        <v>0.572291231029414</v>
      </c>
      <c r="O11">
        <v>0.988509761534276</v>
      </c>
      <c r="P11">
        <v>0.780400496281845</v>
      </c>
    </row>
    <row r="12" spans="1:16">
      <c r="A12" t="s">
        <v>37</v>
      </c>
      <c r="B12" t="s">
        <v>38</v>
      </c>
      <c r="C12" t="s">
        <v>18</v>
      </c>
      <c r="D12">
        <v>805</v>
      </c>
      <c r="E12">
        <v>1057</v>
      </c>
      <c r="F12">
        <v>0.876049901822801</v>
      </c>
      <c r="G12">
        <v>0.728842405440126</v>
      </c>
      <c r="H12">
        <v>0.812956389498752</v>
      </c>
      <c r="I12">
        <v>0.638084753750681</v>
      </c>
      <c r="J12">
        <v>0.793411316106283</v>
      </c>
      <c r="K12">
        <v>0.639545884578997</v>
      </c>
      <c r="L12">
        <v>0.635858406471183</v>
      </c>
      <c r="M12">
        <v>0.200727397109905</v>
      </c>
      <c r="N12">
        <v>0.567052103535943</v>
      </c>
      <c r="O12">
        <v>0.988176869304676</v>
      </c>
      <c r="P12">
        <v>0.777614486420309</v>
      </c>
    </row>
    <row r="13" spans="1:16">
      <c r="A13" t="s">
        <v>39</v>
      </c>
      <c r="B13" t="s">
        <v>40</v>
      </c>
      <c r="C13" t="s">
        <v>18</v>
      </c>
      <c r="D13">
        <v>805</v>
      </c>
      <c r="E13">
        <v>1057</v>
      </c>
      <c r="F13">
        <v>0.859857241453752</v>
      </c>
      <c r="G13">
        <v>0.737198647983739</v>
      </c>
      <c r="H13">
        <v>0.822522528994272</v>
      </c>
      <c r="I13">
        <v>0.649501826536807</v>
      </c>
      <c r="J13">
        <v>0.779097449799245</v>
      </c>
      <c r="K13">
        <v>0.642384105960265</v>
      </c>
      <c r="L13">
        <v>0.643591564164436</v>
      </c>
      <c r="M13">
        <v>0.201416972660144</v>
      </c>
      <c r="N13">
        <v>0.576837882098691</v>
      </c>
      <c r="O13">
        <v>0.988600553398529</v>
      </c>
      <c r="P13">
        <v>0.78271921774861</v>
      </c>
    </row>
    <row r="14" spans="1:16">
      <c r="A14" t="s">
        <v>41</v>
      </c>
      <c r="B14" t="s">
        <v>42</v>
      </c>
      <c r="C14" t="s">
        <v>18</v>
      </c>
      <c r="D14">
        <v>805</v>
      </c>
      <c r="E14">
        <v>1057</v>
      </c>
      <c r="F14">
        <v>0.873891980039796</v>
      </c>
      <c r="G14">
        <v>0.767054145995476</v>
      </c>
      <c r="H14">
        <v>0.832890001048023</v>
      </c>
      <c r="I14">
        <v>0.667487899867152</v>
      </c>
      <c r="J14">
        <v>0.772451577147331</v>
      </c>
      <c r="K14">
        <v>0.671226199670137</v>
      </c>
      <c r="L14">
        <v>0.654659106946259</v>
      </c>
      <c r="M14">
        <v>0.205829388350101</v>
      </c>
      <c r="N14">
        <v>0.56720241101452</v>
      </c>
      <c r="O14">
        <v>0.988281271646434</v>
      </c>
      <c r="P14">
        <v>0.777741841330477</v>
      </c>
    </row>
    <row r="15" spans="1:16">
      <c r="A15" t="s">
        <v>43</v>
      </c>
      <c r="B15" t="s">
        <v>44</v>
      </c>
      <c r="C15" t="s">
        <v>18</v>
      </c>
      <c r="D15">
        <v>805</v>
      </c>
      <c r="E15">
        <v>1057</v>
      </c>
      <c r="F15">
        <v>0.877040108786896</v>
      </c>
      <c r="G15">
        <v>0.762534401563906</v>
      </c>
      <c r="H15">
        <v>0.825642757851022</v>
      </c>
      <c r="I15">
        <v>0.661787439404813</v>
      </c>
      <c r="J15">
        <v>0.772714668232778</v>
      </c>
      <c r="K15">
        <v>0.667928098391675</v>
      </c>
      <c r="L15">
        <v>0.634306202533706</v>
      </c>
      <c r="M15">
        <v>0.199135867934833</v>
      </c>
      <c r="N15">
        <v>0.577136587490272</v>
      </c>
      <c r="O15">
        <v>0.988718114464916</v>
      </c>
      <c r="P15">
        <v>0.782927350977594</v>
      </c>
    </row>
    <row r="16" spans="1:16">
      <c r="A16" t="s">
        <v>45</v>
      </c>
      <c r="B16" t="s">
        <v>46</v>
      </c>
      <c r="C16" t="s">
        <v>18</v>
      </c>
      <c r="D16">
        <v>805</v>
      </c>
      <c r="E16">
        <v>1057</v>
      </c>
      <c r="F16">
        <v>0.897452176651433</v>
      </c>
      <c r="G16">
        <v>0.768211920529801</v>
      </c>
      <c r="H16">
        <v>0.835325390641258</v>
      </c>
      <c r="I16">
        <v>0.660709007584272</v>
      </c>
      <c r="J16">
        <v>0.785057762277065</v>
      </c>
      <c r="K16">
        <v>0.673813310384256</v>
      </c>
      <c r="L16">
        <v>0.647518645224046</v>
      </c>
      <c r="M16">
        <v>0.202778807231881</v>
      </c>
      <c r="N16">
        <v>0.580698890647029</v>
      </c>
      <c r="O16">
        <v>0.988735940655471</v>
      </c>
      <c r="P16">
        <v>0.78471741565125</v>
      </c>
    </row>
    <row r="17" spans="1:16">
      <c r="A17" t="s">
        <v>47</v>
      </c>
      <c r="B17" t="s">
        <v>48</v>
      </c>
      <c r="C17" t="s">
        <v>18</v>
      </c>
      <c r="D17">
        <v>805</v>
      </c>
      <c r="E17">
        <v>1057</v>
      </c>
      <c r="F17">
        <v>0.862336530970874</v>
      </c>
      <c r="G17">
        <v>0.760643330179754</v>
      </c>
      <c r="H17">
        <v>0.825082699404155</v>
      </c>
      <c r="I17">
        <v>0.652974555468236</v>
      </c>
      <c r="J17">
        <v>0.747975138527803</v>
      </c>
      <c r="K17">
        <v>0.666982024597919</v>
      </c>
      <c r="L17">
        <v>0.643635625163347</v>
      </c>
      <c r="M17">
        <v>0.201278725041065</v>
      </c>
      <c r="N17">
        <v>0.5794706628395</v>
      </c>
      <c r="O17">
        <v>0.98873655202918</v>
      </c>
      <c r="P17">
        <v>0.78410360743434</v>
      </c>
    </row>
    <row r="24" s="5" customFormat="1" spans="1:16">
      <c r="A24" s="5" t="s">
        <v>49</v>
      </c>
      <c r="B24" s="5" t="s">
        <v>50</v>
      </c>
      <c r="C24" s="5" t="s">
        <v>18</v>
      </c>
      <c r="D24" s="5">
        <v>805</v>
      </c>
      <c r="E24" s="5">
        <v>1057</v>
      </c>
      <c r="F24" s="5">
        <v>0.849246041901464</v>
      </c>
      <c r="G24" s="5">
        <v>0.763481551561022</v>
      </c>
      <c r="H24" s="5">
        <v>0.817164972662887</v>
      </c>
      <c r="I24" s="5">
        <v>0.644050444938936</v>
      </c>
      <c r="J24" s="5">
        <v>0.784110653259116</v>
      </c>
      <c r="K24" s="5">
        <v>0.663175509650389</v>
      </c>
      <c r="L24" s="5">
        <v>0.644000791183443</v>
      </c>
      <c r="M24" s="5">
        <v>0.204836974427965</v>
      </c>
      <c r="N24" s="5">
        <v>0.583656951314134</v>
      </c>
      <c r="O24" s="5">
        <v>0.988614193656855</v>
      </c>
      <c r="P24" s="5">
        <v>0.786135572485495</v>
      </c>
    </row>
    <row r="25" s="5" customFormat="1" spans="1:16">
      <c r="A25" s="5" t="s">
        <v>51</v>
      </c>
      <c r="B25" s="5" t="s">
        <v>52</v>
      </c>
      <c r="C25" s="5" t="s">
        <v>18</v>
      </c>
      <c r="D25" s="5">
        <v>805</v>
      </c>
      <c r="E25" s="5">
        <v>1057</v>
      </c>
      <c r="F25" s="5">
        <v>0.868647627733892</v>
      </c>
      <c r="G25" s="5">
        <v>0.771996215704825</v>
      </c>
      <c r="H25" s="5">
        <v>0.831329313720845</v>
      </c>
      <c r="I25" s="5">
        <v>0.681701302694635</v>
      </c>
      <c r="J25" s="5">
        <v>0.789611645200485</v>
      </c>
      <c r="K25" s="5">
        <v>0.657521286660359</v>
      </c>
      <c r="L25" s="5">
        <v>0.634448270664663</v>
      </c>
      <c r="M25" s="5">
        <v>0.203475423596057</v>
      </c>
      <c r="N25" s="5">
        <v>0.587824858804687</v>
      </c>
      <c r="O25" s="5">
        <v>0.989094991234723</v>
      </c>
      <c r="P25" s="5">
        <v>0.788459925019705</v>
      </c>
    </row>
    <row r="26" s="5" customFormat="1" spans="1:16">
      <c r="A26" s="5" t="s">
        <v>53</v>
      </c>
      <c r="B26" s="5" t="s">
        <v>54</v>
      </c>
      <c r="C26" s="5" t="s">
        <v>18</v>
      </c>
      <c r="D26" s="5">
        <v>805</v>
      </c>
      <c r="E26" s="5">
        <v>1057</v>
      </c>
      <c r="F26" s="5">
        <v>0.856669010824657</v>
      </c>
      <c r="G26" s="5">
        <v>0.774673352503611</v>
      </c>
      <c r="H26" s="5">
        <v>0.832625610068178</v>
      </c>
      <c r="I26" s="5">
        <v>0.674607928180795</v>
      </c>
      <c r="J26" s="5">
        <v>0.720527189640994</v>
      </c>
      <c r="K26" s="5">
        <v>0.675496688741722</v>
      </c>
      <c r="L26" s="5">
        <v>0.628280027672225</v>
      </c>
      <c r="M26" s="5">
        <v>0.196705184990645</v>
      </c>
      <c r="N26" s="5">
        <v>0.571519423045309</v>
      </c>
      <c r="O26" s="5">
        <v>0.988314846531559</v>
      </c>
      <c r="P26" s="5">
        <v>0.779917134788434</v>
      </c>
    </row>
    <row r="27" s="5" customFormat="1" spans="1:16">
      <c r="A27" s="5" t="s">
        <v>55</v>
      </c>
      <c r="B27" s="5" t="s">
        <v>56</v>
      </c>
      <c r="C27" s="5" t="s">
        <v>18</v>
      </c>
      <c r="D27" s="5">
        <v>805</v>
      </c>
      <c r="E27" s="5">
        <v>1057</v>
      </c>
      <c r="F27" s="5">
        <v>0.88475938560675</v>
      </c>
      <c r="G27" s="5">
        <v>0.757805108798486</v>
      </c>
      <c r="H27" s="5">
        <v>0.835804909401983</v>
      </c>
      <c r="I27" s="5">
        <v>0.677823823564001</v>
      </c>
      <c r="J27" s="5">
        <v>0.77829226080274</v>
      </c>
      <c r="K27" s="5">
        <v>0.666035950804163</v>
      </c>
      <c r="L27" s="5">
        <v>0.647903027800363</v>
      </c>
      <c r="M27" s="5">
        <v>0.203152033668318</v>
      </c>
      <c r="N27" s="5">
        <v>0.576352451601136</v>
      </c>
      <c r="O27" s="5">
        <v>0.988486098404929</v>
      </c>
      <c r="P27" s="5">
        <v>0.782419275003032</v>
      </c>
    </row>
    <row r="28" s="5" customFormat="1" spans="1:16">
      <c r="A28" s="5" t="s">
        <v>57</v>
      </c>
      <c r="B28" s="5" t="s">
        <v>58</v>
      </c>
      <c r="C28" s="5" t="s">
        <v>18</v>
      </c>
      <c r="D28" s="5">
        <v>805</v>
      </c>
      <c r="E28" s="5">
        <v>1057</v>
      </c>
      <c r="F28" s="5">
        <v>0.867576419584502</v>
      </c>
      <c r="G28" s="5">
        <v>0.771050141911069</v>
      </c>
      <c r="H28" s="5">
        <v>0.841955498453523</v>
      </c>
      <c r="I28" s="5">
        <v>0.673675199959811</v>
      </c>
      <c r="J28" s="5">
        <v>0.796416060751708</v>
      </c>
      <c r="K28" s="5">
        <v>0.637653736991485</v>
      </c>
      <c r="L28" s="5">
        <v>0.651053119131599</v>
      </c>
      <c r="M28" s="5">
        <v>0.203735651459306</v>
      </c>
      <c r="N28" s="5">
        <v>0.568381531515875</v>
      </c>
      <c r="O28" s="5">
        <v>0.988275276497864</v>
      </c>
      <c r="P28" s="5">
        <v>0.77832840400687</v>
      </c>
    </row>
    <row r="29" s="5" customFormat="1" spans="1:16">
      <c r="A29" s="5" t="s">
        <v>59</v>
      </c>
      <c r="B29" s="5" t="s">
        <v>60</v>
      </c>
      <c r="C29" s="5" t="s">
        <v>18</v>
      </c>
      <c r="D29" s="5">
        <v>805</v>
      </c>
      <c r="E29" s="5">
        <v>1057</v>
      </c>
      <c r="F29" s="5">
        <v>0.890801095655733</v>
      </c>
      <c r="G29" s="5">
        <v>0.74077578051088</v>
      </c>
      <c r="H29" s="5">
        <v>0.815060281541414</v>
      </c>
      <c r="I29" s="5">
        <v>0.646035916576578</v>
      </c>
      <c r="J29" s="5">
        <v>0.779980503544867</v>
      </c>
      <c r="K29" s="5">
        <v>0.647299119183579</v>
      </c>
      <c r="L29" s="5">
        <v>0.629106549670027</v>
      </c>
      <c r="M29" s="5">
        <v>0.195217639726121</v>
      </c>
      <c r="N29" s="5">
        <v>0.550698639736561</v>
      </c>
      <c r="O29" s="5">
        <v>0.987304373214744</v>
      </c>
      <c r="P29" s="5">
        <v>0.769001506475652</v>
      </c>
    </row>
    <row r="30" s="5" customFormat="1" spans="1:16">
      <c r="A30" s="5" t="s">
        <v>61</v>
      </c>
      <c r="B30" s="5" t="s">
        <v>62</v>
      </c>
      <c r="C30" s="5" t="s">
        <v>18</v>
      </c>
      <c r="D30" s="5">
        <v>805</v>
      </c>
      <c r="E30" s="5">
        <v>1057</v>
      </c>
      <c r="F30" s="5">
        <v>0.861828395956098</v>
      </c>
      <c r="G30" s="5">
        <v>0.773033575355109</v>
      </c>
      <c r="H30" s="5">
        <v>0.831304013436689</v>
      </c>
      <c r="I30" s="5">
        <v>0.671846565845802</v>
      </c>
      <c r="J30" s="5">
        <v>0.760572869328506</v>
      </c>
      <c r="K30" s="5">
        <v>0.682210491154541</v>
      </c>
      <c r="L30" s="5">
        <v>0.649004353962324</v>
      </c>
      <c r="M30" s="5">
        <v>0.202479959871956</v>
      </c>
      <c r="N30" s="5">
        <v>0.578262152888321</v>
      </c>
      <c r="O30" s="5">
        <v>0.988761241920014</v>
      </c>
      <c r="P30" s="5">
        <v>0.783511697404167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3"/>
  <sheetViews>
    <sheetView workbookViewId="0">
      <pane ySplit="1" topLeftCell="A2" activePane="bottomLeft" state="frozen"/>
      <selection/>
      <selection pane="bottomLeft" activeCell="L38" sqref="L38"/>
    </sheetView>
  </sheetViews>
  <sheetFormatPr defaultColWidth="16.625" defaultRowHeight="13.5"/>
  <cols>
    <col min="1" max="1" width="65.5" customWidth="1"/>
    <col min="2" max="16384" width="16.625" customWidth="1"/>
  </cols>
  <sheetData>
    <row r="1" s="7" customFormat="1" spans="1:16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</row>
    <row r="3" s="7" customFormat="1" spans="1:16">
      <c r="A3" s="7" t="s">
        <v>19</v>
      </c>
      <c r="B3" s="7" t="s">
        <v>20</v>
      </c>
      <c r="C3" s="7" t="s">
        <v>18</v>
      </c>
      <c r="D3" s="7">
        <v>805</v>
      </c>
      <c r="E3" s="7">
        <v>1057</v>
      </c>
      <c r="F3" s="7">
        <v>0.86849418883727</v>
      </c>
      <c r="G3" s="7">
        <v>0.767265846736045</v>
      </c>
      <c r="H3" s="7">
        <v>0.839128811265236</v>
      </c>
      <c r="I3" s="7">
        <v>0.684503218993639</v>
      </c>
      <c r="J3" s="7">
        <v>0.767014065527569</v>
      </c>
      <c r="K3" s="7">
        <v>0.67360454115421</v>
      </c>
      <c r="L3" s="7">
        <v>0.648616025158045</v>
      </c>
      <c r="M3" s="7">
        <v>0.205181005280539</v>
      </c>
      <c r="N3" s="7">
        <v>0.588384971546191</v>
      </c>
      <c r="O3" s="7">
        <v>0.989176665813446</v>
      </c>
      <c r="P3" s="7">
        <v>0.788780818679818</v>
      </c>
    </row>
    <row r="5" s="7" customFormat="1" spans="1:16">
      <c r="A5" s="7" t="s">
        <v>23</v>
      </c>
      <c r="B5" s="7" t="s">
        <v>24</v>
      </c>
      <c r="C5" s="7" t="s">
        <v>18</v>
      </c>
      <c r="D5" s="7">
        <v>805</v>
      </c>
      <c r="E5" s="7">
        <v>1057</v>
      </c>
      <c r="F5" s="7">
        <v>0.880133038278313</v>
      </c>
      <c r="G5" s="7">
        <v>0.757182331277181</v>
      </c>
      <c r="H5" s="7">
        <v>0.835562648039773</v>
      </c>
      <c r="I5" s="7">
        <v>0.684677096685457</v>
      </c>
      <c r="J5" s="7">
        <v>0.777929171749942</v>
      </c>
      <c r="K5" s="7">
        <v>0.672774725504349</v>
      </c>
      <c r="L5" s="7">
        <v>0.656171683161333</v>
      </c>
      <c r="M5" s="7">
        <v>0.205646566712531</v>
      </c>
      <c r="N5" s="7">
        <v>0.574234844268113</v>
      </c>
      <c r="O5" s="7">
        <v>0.988442896530147</v>
      </c>
      <c r="P5" s="7">
        <v>0.78133887039913</v>
      </c>
    </row>
    <row r="7" s="7" customFormat="1" spans="1:16">
      <c r="A7" s="7" t="s">
        <v>27</v>
      </c>
      <c r="B7" s="7" t="s">
        <v>28</v>
      </c>
      <c r="C7" s="7" t="s">
        <v>18</v>
      </c>
      <c r="D7" s="7">
        <v>805</v>
      </c>
      <c r="E7" s="7">
        <v>1057</v>
      </c>
      <c r="F7" s="7">
        <v>0.852269824496975</v>
      </c>
      <c r="G7" s="7">
        <v>0.764119127997747</v>
      </c>
      <c r="H7" s="7">
        <v>0.835837843053553</v>
      </c>
      <c r="I7" s="7">
        <v>0.671722068936833</v>
      </c>
      <c r="J7" s="7">
        <v>0.767938504047817</v>
      </c>
      <c r="K7" s="7">
        <v>0.670766319772942</v>
      </c>
      <c r="L7" s="7">
        <v>0.660767754142457</v>
      </c>
      <c r="M7" s="7">
        <v>0.202565723491405</v>
      </c>
      <c r="N7" s="7">
        <v>0.572959114120013</v>
      </c>
      <c r="O7" s="7">
        <v>0.988378059403221</v>
      </c>
      <c r="P7" s="7">
        <v>0.780668586761617</v>
      </c>
    </row>
    <row r="9" s="7" customFormat="1" spans="1:16">
      <c r="A9" s="7" t="s">
        <v>31</v>
      </c>
      <c r="B9" s="7" t="s">
        <v>32</v>
      </c>
      <c r="C9" s="7" t="s">
        <v>18</v>
      </c>
      <c r="D9" s="7">
        <v>805</v>
      </c>
      <c r="E9" s="7">
        <v>1057</v>
      </c>
      <c r="F9" s="7">
        <v>0.862591176567742</v>
      </c>
      <c r="G9" s="7">
        <v>0.766134824167335</v>
      </c>
      <c r="H9" s="7">
        <v>0.830691886199536</v>
      </c>
      <c r="I9" s="7">
        <v>0.677055217831204</v>
      </c>
      <c r="J9" s="7">
        <v>0.769010740703997</v>
      </c>
      <c r="K9" s="7">
        <v>0.642533677874859</v>
      </c>
      <c r="L9" s="7">
        <v>0.614698992262894</v>
      </c>
      <c r="M9" s="7">
        <v>0.196014144862994</v>
      </c>
      <c r="N9" s="7">
        <v>0.448486892390327</v>
      </c>
      <c r="O9" s="7">
        <v>0.981070873302135</v>
      </c>
      <c r="P9" s="7">
        <v>0.714778882846231</v>
      </c>
    </row>
    <row r="11" s="7" customFormat="1" spans="1:16">
      <c r="A11" s="7" t="s">
        <v>35</v>
      </c>
      <c r="B11" s="7" t="s">
        <v>36</v>
      </c>
      <c r="C11" s="7" t="s">
        <v>18</v>
      </c>
      <c r="D11" s="7">
        <v>805</v>
      </c>
      <c r="E11" s="7">
        <v>1057</v>
      </c>
      <c r="F11" s="7">
        <v>0.856144806109716</v>
      </c>
      <c r="G11" s="7">
        <v>0.766319772942289</v>
      </c>
      <c r="H11" s="7">
        <v>0.838419123787085</v>
      </c>
      <c r="I11" s="7">
        <v>0.667873862442901</v>
      </c>
      <c r="J11" s="7">
        <v>0.748471644076932</v>
      </c>
      <c r="K11" s="7">
        <v>0.664393757570068</v>
      </c>
      <c r="L11" s="7">
        <v>0.640024798147117</v>
      </c>
      <c r="M11" s="7">
        <v>0.203429097661163</v>
      </c>
      <c r="N11" s="7">
        <v>0.572291231029414</v>
      </c>
      <c r="O11" s="7">
        <v>0.988509761534276</v>
      </c>
      <c r="P11" s="7">
        <v>0.780400496281845</v>
      </c>
    </row>
    <row r="13" s="7" customFormat="1" spans="1:16">
      <c r="A13" s="7" t="s">
        <v>39</v>
      </c>
      <c r="B13" s="7" t="s">
        <v>40</v>
      </c>
      <c r="C13" s="7" t="s">
        <v>18</v>
      </c>
      <c r="D13" s="7">
        <v>805</v>
      </c>
      <c r="E13" s="7">
        <v>1057</v>
      </c>
      <c r="F13" s="7">
        <v>0.859857241453752</v>
      </c>
      <c r="G13" s="7">
        <v>0.737198647983739</v>
      </c>
      <c r="H13" s="7">
        <v>0.822522528994272</v>
      </c>
      <c r="I13" s="7">
        <v>0.649501826536807</v>
      </c>
      <c r="J13" s="7">
        <v>0.779097449799245</v>
      </c>
      <c r="K13" s="7">
        <v>0.642384105960265</v>
      </c>
      <c r="L13" s="7">
        <v>0.643591564164436</v>
      </c>
      <c r="M13" s="7">
        <v>0.201416972660144</v>
      </c>
      <c r="N13" s="7">
        <v>0.576837882098691</v>
      </c>
      <c r="O13" s="7">
        <v>0.988600553398529</v>
      </c>
      <c r="P13" s="7">
        <v>0.78271921774861</v>
      </c>
    </row>
    <row r="15" s="7" customFormat="1" spans="1:16">
      <c r="A15" s="7" t="s">
        <v>43</v>
      </c>
      <c r="B15" s="7" t="s">
        <v>44</v>
      </c>
      <c r="C15" s="7" t="s">
        <v>18</v>
      </c>
      <c r="D15" s="7">
        <v>805</v>
      </c>
      <c r="E15" s="7">
        <v>1057</v>
      </c>
      <c r="F15" s="7">
        <v>0.877040108786896</v>
      </c>
      <c r="G15" s="7">
        <v>0.762534401563906</v>
      </c>
      <c r="H15" s="7">
        <v>0.825642757851022</v>
      </c>
      <c r="I15" s="7">
        <v>0.661787439404813</v>
      </c>
      <c r="J15" s="7">
        <v>0.772714668232778</v>
      </c>
      <c r="K15" s="7">
        <v>0.667928098391675</v>
      </c>
      <c r="L15" s="7">
        <v>0.634306202533706</v>
      </c>
      <c r="M15" s="7">
        <v>0.199135867934833</v>
      </c>
      <c r="N15" s="7">
        <v>0.577136587490272</v>
      </c>
      <c r="O15" s="7">
        <v>0.988718114464916</v>
      </c>
      <c r="P15" s="7">
        <v>0.782927350977594</v>
      </c>
    </row>
    <row r="16" s="7" customFormat="1"/>
    <row r="17" s="7" customFormat="1"/>
    <row r="18" s="7" customFormat="1"/>
    <row r="19" s="7" customFormat="1"/>
    <row r="20" s="7" customFormat="1"/>
    <row r="21" s="8" customFormat="1" spans="1:16">
      <c r="A21" s="8" t="s">
        <v>49</v>
      </c>
      <c r="D21" s="8">
        <f t="shared" ref="D21:P21" si="0">SUM(D36+D23+D24)/3</f>
        <v>805</v>
      </c>
      <c r="E21" s="8">
        <f t="shared" si="0"/>
        <v>1057</v>
      </c>
      <c r="F21" s="8">
        <f t="shared" si="0"/>
        <v>0.869678249841257</v>
      </c>
      <c r="G21" s="8">
        <f t="shared" si="0"/>
        <v>0.764112267423526</v>
      </c>
      <c r="H21" s="8">
        <f t="shared" si="0"/>
        <v>0.825857687569433</v>
      </c>
      <c r="I21" s="8">
        <f t="shared" si="0"/>
        <v>0.652578002663815</v>
      </c>
      <c r="J21" s="8">
        <f t="shared" si="0"/>
        <v>0.772381184687995</v>
      </c>
      <c r="K21" s="8">
        <f t="shared" si="0"/>
        <v>0.667990281544188</v>
      </c>
      <c r="L21" s="8">
        <f t="shared" si="0"/>
        <v>0.645051687190279</v>
      </c>
      <c r="M21" s="8">
        <f t="shared" si="0"/>
        <v>0.20296483556697</v>
      </c>
      <c r="N21" s="8">
        <f t="shared" si="0"/>
        <v>0.581275501600221</v>
      </c>
      <c r="O21" s="8">
        <f t="shared" si="0"/>
        <v>0.988695562113835</v>
      </c>
      <c r="P21" s="8">
        <f t="shared" si="0"/>
        <v>0.784985531857028</v>
      </c>
    </row>
    <row r="23" s="8" customFormat="1" spans="1:16">
      <c r="A23" s="8" t="s">
        <v>47</v>
      </c>
      <c r="B23" s="8" t="s">
        <v>48</v>
      </c>
      <c r="C23" s="8" t="s">
        <v>18</v>
      </c>
      <c r="D23" s="8">
        <v>805</v>
      </c>
      <c r="E23" s="8">
        <v>1057</v>
      </c>
      <c r="F23" s="8">
        <v>0.862336530970874</v>
      </c>
      <c r="G23" s="8">
        <v>0.760643330179754</v>
      </c>
      <c r="H23" s="8">
        <v>0.825082699404155</v>
      </c>
      <c r="I23" s="8">
        <v>0.652974555468236</v>
      </c>
      <c r="J23" s="8">
        <v>0.747975138527803</v>
      </c>
      <c r="K23" s="8">
        <v>0.666982024597919</v>
      </c>
      <c r="L23" s="8">
        <v>0.643635625163347</v>
      </c>
      <c r="M23" s="8">
        <v>0.201278725041065</v>
      </c>
      <c r="N23" s="8">
        <v>0.5794706628395</v>
      </c>
      <c r="O23" s="8">
        <v>0.98873655202918</v>
      </c>
      <c r="P23" s="8">
        <v>0.78410360743434</v>
      </c>
    </row>
    <row r="24" s="9" customFormat="1" spans="1:16">
      <c r="A24" s="9" t="s">
        <v>49</v>
      </c>
      <c r="B24" s="9" t="s">
        <v>50</v>
      </c>
      <c r="C24" s="9" t="s">
        <v>18</v>
      </c>
      <c r="D24" s="9">
        <v>805</v>
      </c>
      <c r="E24" s="9">
        <v>1057</v>
      </c>
      <c r="F24" s="9">
        <v>0.849246041901464</v>
      </c>
      <c r="G24" s="9">
        <v>0.763481551561022</v>
      </c>
      <c r="H24" s="9">
        <v>0.817164972662887</v>
      </c>
      <c r="I24" s="9">
        <v>0.644050444938936</v>
      </c>
      <c r="J24" s="9">
        <v>0.784110653259116</v>
      </c>
      <c r="K24" s="9">
        <v>0.663175509650389</v>
      </c>
      <c r="L24" s="9">
        <v>0.644000791183443</v>
      </c>
      <c r="M24" s="9">
        <v>0.204836974427965</v>
      </c>
      <c r="N24" s="9">
        <v>0.583656951314134</v>
      </c>
      <c r="O24" s="9">
        <v>0.988614193656855</v>
      </c>
      <c r="P24" s="9">
        <v>0.786135572485495</v>
      </c>
    </row>
    <row r="25" s="10" customFormat="1" spans="1:16">
      <c r="A25" s="10" t="s">
        <v>51</v>
      </c>
      <c r="B25" s="10" t="s">
        <v>52</v>
      </c>
      <c r="C25" s="10" t="s">
        <v>18</v>
      </c>
      <c r="D25" s="10">
        <v>805</v>
      </c>
      <c r="E25" s="10">
        <v>1057</v>
      </c>
      <c r="F25" s="10">
        <v>0.868647627733892</v>
      </c>
      <c r="G25" s="10">
        <v>0.771996215704825</v>
      </c>
      <c r="H25" s="10">
        <v>0.831329313720845</v>
      </c>
      <c r="I25" s="10">
        <v>0.681701302694635</v>
      </c>
      <c r="J25" s="10">
        <v>0.789611645200485</v>
      </c>
      <c r="K25" s="10">
        <v>0.657521286660359</v>
      </c>
      <c r="L25" s="10">
        <v>0.634448270664663</v>
      </c>
      <c r="M25" s="10">
        <v>0.203475423596057</v>
      </c>
      <c r="N25" s="10">
        <v>0.587824858804687</v>
      </c>
      <c r="O25" s="10">
        <v>0.989094991234723</v>
      </c>
      <c r="P25" s="10">
        <v>0.788459925019705</v>
      </c>
    </row>
    <row r="26" s="10" customFormat="1" spans="1:16">
      <c r="A26" s="10" t="s">
        <v>53</v>
      </c>
      <c r="B26" s="10" t="s">
        <v>54</v>
      </c>
      <c r="C26" s="10" t="s">
        <v>18</v>
      </c>
      <c r="D26" s="10">
        <v>805</v>
      </c>
      <c r="E26" s="10">
        <v>1057</v>
      </c>
      <c r="F26" s="10">
        <v>0.856669010824657</v>
      </c>
      <c r="G26" s="10">
        <v>0.774673352503611</v>
      </c>
      <c r="H26" s="10">
        <v>0.832625610068178</v>
      </c>
      <c r="I26" s="10">
        <v>0.674607928180795</v>
      </c>
      <c r="J26" s="10">
        <v>0.720527189640994</v>
      </c>
      <c r="K26" s="10">
        <v>0.675496688741722</v>
      </c>
      <c r="L26" s="10">
        <v>0.628280027672225</v>
      </c>
      <c r="M26" s="10">
        <v>0.196705184990645</v>
      </c>
      <c r="N26" s="10">
        <v>0.571519423045309</v>
      </c>
      <c r="O26" s="10">
        <v>0.988314846531559</v>
      </c>
      <c r="P26" s="10">
        <v>0.779917134788434</v>
      </c>
    </row>
    <row r="27" s="10" customFormat="1" spans="1:16">
      <c r="A27" s="10" t="s">
        <v>55</v>
      </c>
      <c r="B27" s="10" t="s">
        <v>56</v>
      </c>
      <c r="C27" s="10" t="s">
        <v>18</v>
      </c>
      <c r="D27" s="10">
        <v>805</v>
      </c>
      <c r="E27" s="10">
        <v>1057</v>
      </c>
      <c r="F27" s="10">
        <v>0.88475938560675</v>
      </c>
      <c r="G27" s="10">
        <v>0.757805108798486</v>
      </c>
      <c r="H27" s="10">
        <v>0.835804909401983</v>
      </c>
      <c r="I27" s="10">
        <v>0.677823823564001</v>
      </c>
      <c r="J27" s="10">
        <v>0.77829226080274</v>
      </c>
      <c r="K27" s="10">
        <v>0.666035950804163</v>
      </c>
      <c r="L27" s="10">
        <v>0.647903027800363</v>
      </c>
      <c r="M27" s="10">
        <v>0.203152033668318</v>
      </c>
      <c r="N27" s="10">
        <v>0.576352451601136</v>
      </c>
      <c r="O27" s="10">
        <v>0.988486098404929</v>
      </c>
      <c r="P27" s="10">
        <v>0.782419275003032</v>
      </c>
    </row>
    <row r="28" s="10" customFormat="1" spans="1:16">
      <c r="A28" s="10" t="s">
        <v>57</v>
      </c>
      <c r="B28" s="10" t="s">
        <v>58</v>
      </c>
      <c r="C28" s="10" t="s">
        <v>18</v>
      </c>
      <c r="D28" s="10">
        <v>805</v>
      </c>
      <c r="E28" s="10">
        <v>1057</v>
      </c>
      <c r="F28" s="10">
        <v>0.867576419584502</v>
      </c>
      <c r="G28" s="10">
        <v>0.771050141911069</v>
      </c>
      <c r="H28" s="10">
        <v>0.841955498453523</v>
      </c>
      <c r="I28" s="10">
        <v>0.673675199959811</v>
      </c>
      <c r="J28" s="10">
        <v>0.796416060751708</v>
      </c>
      <c r="K28" s="10">
        <v>0.637653736991485</v>
      </c>
      <c r="L28" s="10">
        <v>0.651053119131599</v>
      </c>
      <c r="M28" s="10">
        <v>0.203735651459306</v>
      </c>
      <c r="N28" s="10">
        <v>0.568381531515875</v>
      </c>
      <c r="O28" s="10">
        <v>0.988275276497864</v>
      </c>
      <c r="P28" s="10">
        <v>0.77832840400687</v>
      </c>
    </row>
    <row r="29" s="10" customFormat="1" spans="1:16">
      <c r="A29" s="10" t="s">
        <v>59</v>
      </c>
      <c r="B29" s="10" t="s">
        <v>60</v>
      </c>
      <c r="C29" s="10" t="s">
        <v>18</v>
      </c>
      <c r="D29" s="10">
        <v>805</v>
      </c>
      <c r="E29" s="10">
        <v>1057</v>
      </c>
      <c r="F29" s="10">
        <v>0.890801095655733</v>
      </c>
      <c r="G29" s="10">
        <v>0.74077578051088</v>
      </c>
      <c r="H29" s="10">
        <v>0.815060281541414</v>
      </c>
      <c r="I29" s="10">
        <v>0.646035916576578</v>
      </c>
      <c r="J29" s="10">
        <v>0.779980503544867</v>
      </c>
      <c r="K29" s="10">
        <v>0.647299119183579</v>
      </c>
      <c r="L29" s="10">
        <v>0.629106549670027</v>
      </c>
      <c r="M29" s="10">
        <v>0.195217639726121</v>
      </c>
      <c r="N29" s="10">
        <v>0.550698639736561</v>
      </c>
      <c r="O29" s="10">
        <v>0.987304373214744</v>
      </c>
      <c r="P29" s="10">
        <v>0.769001506475652</v>
      </c>
    </row>
    <row r="30" s="10" customFormat="1" spans="1:16">
      <c r="A30" s="10" t="s">
        <v>61</v>
      </c>
      <c r="B30" s="10" t="s">
        <v>62</v>
      </c>
      <c r="C30" s="10" t="s">
        <v>18</v>
      </c>
      <c r="D30" s="10">
        <v>805</v>
      </c>
      <c r="E30" s="10">
        <v>1057</v>
      </c>
      <c r="F30" s="10">
        <v>0.861828395956098</v>
      </c>
      <c r="G30" s="10">
        <v>0.773033575355109</v>
      </c>
      <c r="H30" s="10">
        <v>0.831304013436689</v>
      </c>
      <c r="I30" s="10">
        <v>0.671846565845802</v>
      </c>
      <c r="J30" s="10">
        <v>0.760572869328506</v>
      </c>
      <c r="K30" s="10">
        <v>0.682210491154541</v>
      </c>
      <c r="L30" s="10">
        <v>0.649004353962324</v>
      </c>
      <c r="M30" s="10">
        <v>0.202479959871956</v>
      </c>
      <c r="N30" s="10">
        <v>0.578262152888321</v>
      </c>
      <c r="O30" s="10">
        <v>0.988761241920014</v>
      </c>
      <c r="P30" s="10">
        <v>0.783511697404167</v>
      </c>
    </row>
    <row r="36" s="8" customFormat="1" spans="1:16">
      <c r="A36" s="8" t="s">
        <v>45</v>
      </c>
      <c r="B36" s="8" t="s">
        <v>46</v>
      </c>
      <c r="C36" s="8" t="s">
        <v>18</v>
      </c>
      <c r="D36" s="8">
        <v>805</v>
      </c>
      <c r="E36" s="8">
        <v>1057</v>
      </c>
      <c r="F36" s="8">
        <v>0.897452176651433</v>
      </c>
      <c r="G36" s="8">
        <v>0.768211920529801</v>
      </c>
      <c r="H36" s="8">
        <v>0.835325390641258</v>
      </c>
      <c r="I36" s="8">
        <v>0.660709007584272</v>
      </c>
      <c r="J36" s="8">
        <v>0.785057762277065</v>
      </c>
      <c r="K36" s="8">
        <v>0.673813310384256</v>
      </c>
      <c r="L36" s="8">
        <v>0.647518645224046</v>
      </c>
      <c r="M36" s="8">
        <v>0.202778807231881</v>
      </c>
      <c r="N36" s="8">
        <v>0.580698890647029</v>
      </c>
      <c r="O36" s="8">
        <v>0.988735940655471</v>
      </c>
      <c r="P36" s="8">
        <v>0.78471741565125</v>
      </c>
    </row>
    <row r="37" s="7" customFormat="1" spans="1:16">
      <c r="A37" s="7" t="s">
        <v>16</v>
      </c>
      <c r="B37" s="7" t="s">
        <v>17</v>
      </c>
      <c r="C37" s="7" t="s">
        <v>18</v>
      </c>
      <c r="D37" s="7">
        <v>805</v>
      </c>
      <c r="E37" s="7">
        <v>1057</v>
      </c>
      <c r="F37" s="7">
        <v>0.863421977174238</v>
      </c>
      <c r="G37" s="7">
        <v>0.749290444654683</v>
      </c>
      <c r="H37" s="7">
        <v>0.826715457303655</v>
      </c>
      <c r="I37" s="7">
        <v>0.676379047580458</v>
      </c>
      <c r="J37" s="7">
        <v>0.762736019393606</v>
      </c>
      <c r="K37" s="7">
        <v>0.663197729422895</v>
      </c>
      <c r="L37" s="7">
        <v>0.647499545795279</v>
      </c>
      <c r="M37" s="7">
        <v>0.203615859153429</v>
      </c>
      <c r="N37" s="7">
        <v>0.582380455619961</v>
      </c>
      <c r="O37" s="7">
        <v>0.988979430095834</v>
      </c>
      <c r="P37" s="7">
        <v>0.785679942857897</v>
      </c>
    </row>
    <row r="38" s="7" customFormat="1" spans="1:16">
      <c r="A38" s="7" t="s">
        <v>21</v>
      </c>
      <c r="B38" s="7" t="s">
        <v>22</v>
      </c>
      <c r="C38" s="7" t="s">
        <v>18</v>
      </c>
      <c r="D38" s="7">
        <v>805</v>
      </c>
      <c r="E38" s="7">
        <v>1057</v>
      </c>
      <c r="F38" s="7">
        <v>0.888306450270405</v>
      </c>
      <c r="G38" s="7">
        <v>0.752128666035951</v>
      </c>
      <c r="H38" s="7">
        <v>0.831760802950912</v>
      </c>
      <c r="I38" s="7">
        <v>0.682036774970718</v>
      </c>
      <c r="J38" s="7">
        <v>0.781244703289248</v>
      </c>
      <c r="K38" s="7">
        <v>0.661305581835383</v>
      </c>
      <c r="L38" s="7">
        <v>0.647785187944173</v>
      </c>
      <c r="M38" s="7">
        <v>0.210362722838615</v>
      </c>
      <c r="N38" s="7">
        <v>0.578259650682597</v>
      </c>
      <c r="O38" s="7">
        <v>0.988635700258438</v>
      </c>
      <c r="P38" s="7">
        <v>0.783447675470518</v>
      </c>
    </row>
    <row r="39" s="7" customFormat="1" spans="1:16">
      <c r="A39" s="7" t="s">
        <v>37</v>
      </c>
      <c r="B39" s="7" t="s">
        <v>38</v>
      </c>
      <c r="C39" s="7" t="s">
        <v>18</v>
      </c>
      <c r="D39" s="7">
        <v>805</v>
      </c>
      <c r="E39" s="7">
        <v>1057</v>
      </c>
      <c r="F39" s="7">
        <v>0.876049901822801</v>
      </c>
      <c r="G39" s="7">
        <v>0.728842405440126</v>
      </c>
      <c r="H39" s="7">
        <v>0.812956389498752</v>
      </c>
      <c r="I39" s="7">
        <v>0.638084753750681</v>
      </c>
      <c r="J39" s="7">
        <v>0.793411316106283</v>
      </c>
      <c r="K39" s="7">
        <v>0.639545884578997</v>
      </c>
      <c r="L39" s="7">
        <v>0.635858406471183</v>
      </c>
      <c r="M39" s="7">
        <v>0.200727397109905</v>
      </c>
      <c r="N39" s="7">
        <v>0.567052103535943</v>
      </c>
      <c r="O39" s="7">
        <v>0.988176869304676</v>
      </c>
      <c r="P39" s="7">
        <v>0.777614486420309</v>
      </c>
    </row>
    <row r="40" s="7" customFormat="1" spans="1:16">
      <c r="A40" s="7" t="s">
        <v>41</v>
      </c>
      <c r="B40" s="7" t="s">
        <v>42</v>
      </c>
      <c r="C40" s="7" t="s">
        <v>18</v>
      </c>
      <c r="D40" s="7">
        <v>805</v>
      </c>
      <c r="E40" s="7">
        <v>1057</v>
      </c>
      <c r="F40" s="7">
        <v>0.873891980039796</v>
      </c>
      <c r="G40" s="7">
        <v>0.767054145995476</v>
      </c>
      <c r="H40" s="7">
        <v>0.832890001048023</v>
      </c>
      <c r="I40" s="7">
        <v>0.667487899867152</v>
      </c>
      <c r="J40" s="7">
        <v>0.772451577147331</v>
      </c>
      <c r="K40" s="7">
        <v>0.671226199670137</v>
      </c>
      <c r="L40" s="7">
        <v>0.654659106946259</v>
      </c>
      <c r="M40" s="7">
        <v>0.205829388350101</v>
      </c>
      <c r="N40" s="7">
        <v>0.56720241101452</v>
      </c>
      <c r="O40" s="7">
        <v>0.988281271646434</v>
      </c>
      <c r="P40" s="7">
        <v>0.777741841330477</v>
      </c>
    </row>
    <row r="41" s="7" customFormat="1" spans="1:16">
      <c r="A41" s="7" t="s">
        <v>25</v>
      </c>
      <c r="B41" s="7" t="s">
        <v>26</v>
      </c>
      <c r="C41" s="7" t="s">
        <v>18</v>
      </c>
      <c r="D41" s="7">
        <v>805</v>
      </c>
      <c r="E41" s="7">
        <v>1057</v>
      </c>
      <c r="F41" s="7">
        <v>0.864664387348444</v>
      </c>
      <c r="G41" s="7">
        <v>0.76158940397351</v>
      </c>
      <c r="H41" s="7">
        <v>0.824492656568848</v>
      </c>
      <c r="I41" s="7">
        <v>0.675055373663972</v>
      </c>
      <c r="J41" s="7">
        <v>0.754228513155044</v>
      </c>
      <c r="K41" s="7">
        <v>0.661959550418702</v>
      </c>
      <c r="L41" s="7">
        <v>0.627605494754261</v>
      </c>
      <c r="M41" s="7">
        <v>0.201645193091721</v>
      </c>
      <c r="N41" s="7">
        <v>0.565152844429226</v>
      </c>
      <c r="O41" s="7">
        <v>0.987833993676121</v>
      </c>
      <c r="P41" s="7">
        <v>0.776493419052673</v>
      </c>
    </row>
    <row r="42" s="7" customFormat="1" spans="1:16">
      <c r="A42" s="7" t="s">
        <v>29</v>
      </c>
      <c r="B42" s="7" t="s">
        <v>30</v>
      </c>
      <c r="C42" s="7" t="s">
        <v>18</v>
      </c>
      <c r="D42" s="7">
        <v>805</v>
      </c>
      <c r="E42" s="7">
        <v>1057</v>
      </c>
      <c r="F42" s="7">
        <v>0.86078098699884</v>
      </c>
      <c r="G42" s="7">
        <v>0.783833936102229</v>
      </c>
      <c r="H42" s="7">
        <v>0.843506288293197</v>
      </c>
      <c r="I42" s="7">
        <v>0.680672833662391</v>
      </c>
      <c r="J42" s="7">
        <v>0.743104823437563</v>
      </c>
      <c r="K42" s="7">
        <v>0.686849574266793</v>
      </c>
      <c r="L42" s="7">
        <v>0.644327693428898</v>
      </c>
      <c r="M42" s="7">
        <v>0.196629598306575</v>
      </c>
      <c r="N42" s="7">
        <v>0.561017175323906</v>
      </c>
      <c r="O42" s="7">
        <v>0.987794846171457</v>
      </c>
      <c r="P42" s="7">
        <v>0.774406010747682</v>
      </c>
    </row>
    <row r="43" s="7" customFormat="1" spans="1:16">
      <c r="A43" s="7" t="s">
        <v>33</v>
      </c>
      <c r="B43" s="7" t="s">
        <v>34</v>
      </c>
      <c r="C43" s="7" t="s">
        <v>18</v>
      </c>
      <c r="D43" s="7">
        <v>805</v>
      </c>
      <c r="E43" s="7">
        <v>1057</v>
      </c>
      <c r="F43" s="7">
        <v>0.878848944506887</v>
      </c>
      <c r="G43" s="7">
        <v>0.7360454115421</v>
      </c>
      <c r="H43" s="7">
        <v>0.820022281938549</v>
      </c>
      <c r="I43" s="7">
        <v>0.661849485049006</v>
      </c>
      <c r="J43" s="7">
        <v>0.746912205765785</v>
      </c>
      <c r="K43" s="7">
        <v>0.647756089540576</v>
      </c>
      <c r="L43" s="7">
        <v>0.622040378419594</v>
      </c>
      <c r="M43" s="7">
        <v>0.199895096941081</v>
      </c>
      <c r="N43" s="7">
        <v>0.56021172777473</v>
      </c>
      <c r="O43" s="7">
        <v>0.98803044125448</v>
      </c>
      <c r="P43" s="7">
        <v>0.774121084514605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0"/>
  <sheetViews>
    <sheetView workbookViewId="0">
      <selection activeCell="A14" sqref="A14"/>
    </sheetView>
  </sheetViews>
  <sheetFormatPr defaultColWidth="9" defaultRowHeight="13.5"/>
  <cols>
    <col min="1" max="1" width="61.625" customWidth="1"/>
    <col min="12" max="12" width="20.875" customWidth="1"/>
    <col min="16" max="16" width="39.5" customWidth="1"/>
  </cols>
  <sheetData>
    <row r="1" s="5" customFormat="1" spans="1:16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</row>
    <row r="2" s="5" customFormat="1" spans="1:16">
      <c r="A2" s="5" t="s">
        <v>63</v>
      </c>
      <c r="B2" s="5" t="s">
        <v>64</v>
      </c>
      <c r="C2" s="5" t="s">
        <v>18</v>
      </c>
      <c r="D2" s="5">
        <v>591</v>
      </c>
      <c r="E2" s="5">
        <v>734</v>
      </c>
      <c r="F2" s="5">
        <v>0.868974019568869</v>
      </c>
      <c r="G2" s="5">
        <v>0.804161961781497</v>
      </c>
      <c r="H2" s="5">
        <v>0.88205144464106</v>
      </c>
      <c r="I2" s="5">
        <v>0.750851731349564</v>
      </c>
      <c r="J2" s="5">
        <v>0.895647225435217</v>
      </c>
      <c r="K2" s="5">
        <v>0.817438692098093</v>
      </c>
      <c r="L2" s="5">
        <v>0.892345984481087</v>
      </c>
      <c r="M2" s="5">
        <v>0.592013447788643</v>
      </c>
      <c r="N2" s="5">
        <v>0.710673054029275</v>
      </c>
      <c r="O2" s="5">
        <v>0.969372569990833</v>
      </c>
      <c r="P2" s="5">
        <v>0.840022812010054</v>
      </c>
    </row>
    <row r="3" s="5" customFormat="1" spans="1:16">
      <c r="A3" s="5" t="s">
        <v>53</v>
      </c>
      <c r="B3" s="5" t="s">
        <v>65</v>
      </c>
      <c r="C3" s="5" t="s">
        <v>18</v>
      </c>
      <c r="D3" s="5">
        <v>591</v>
      </c>
      <c r="E3" s="5">
        <v>734</v>
      </c>
      <c r="F3" s="5">
        <v>0.867772739555482</v>
      </c>
      <c r="G3" s="5">
        <v>0.804695734685929</v>
      </c>
      <c r="H3" s="5">
        <v>0.895343764817332</v>
      </c>
      <c r="I3" s="5">
        <v>0.767294877875884</v>
      </c>
      <c r="J3" s="5">
        <v>0.880045877847405</v>
      </c>
      <c r="K3" s="5">
        <v>0.816076294277929</v>
      </c>
      <c r="L3" s="5">
        <v>0.897625363530529</v>
      </c>
      <c r="M3" s="5">
        <v>0.603502728342249</v>
      </c>
      <c r="N3" s="5">
        <v>0.77312050085674</v>
      </c>
      <c r="O3" s="5">
        <v>0.977819725373068</v>
      </c>
      <c r="P3" s="5">
        <v>0.875470113114904</v>
      </c>
    </row>
    <row r="4" s="5" customFormat="1" spans="1:16">
      <c r="A4" s="5" t="s">
        <v>51</v>
      </c>
      <c r="B4" s="5" t="s">
        <v>66</v>
      </c>
      <c r="C4" s="5" t="s">
        <v>18</v>
      </c>
      <c r="D4" s="5">
        <v>591</v>
      </c>
      <c r="E4" s="5">
        <v>734</v>
      </c>
      <c r="F4" s="5">
        <v>0.875151869444176</v>
      </c>
      <c r="G4" s="5">
        <v>0.816076294277929</v>
      </c>
      <c r="H4" s="5">
        <v>0.897532116065411</v>
      </c>
      <c r="I4" s="5">
        <v>0.771212805607134</v>
      </c>
      <c r="J4" s="5">
        <v>0.905646824867189</v>
      </c>
      <c r="K4" s="5">
        <v>0.794277929155313</v>
      </c>
      <c r="L4" s="5">
        <v>0.889781227425221</v>
      </c>
      <c r="M4" s="5">
        <v>0.608345214947112</v>
      </c>
      <c r="N4" s="5">
        <v>0.695100109551087</v>
      </c>
      <c r="O4" s="5">
        <v>0.967296974133765</v>
      </c>
      <c r="P4" s="5">
        <v>0.831198541842426</v>
      </c>
    </row>
    <row r="5" s="5" customFormat="1" spans="1:16">
      <c r="A5" s="5" t="s">
        <v>61</v>
      </c>
      <c r="B5" s="5" t="s">
        <v>67</v>
      </c>
      <c r="C5" s="5" t="s">
        <v>18</v>
      </c>
      <c r="D5" s="5">
        <v>591</v>
      </c>
      <c r="E5" s="5">
        <v>734</v>
      </c>
      <c r="F5" s="5">
        <v>0.876387997159835</v>
      </c>
      <c r="G5" s="5">
        <v>0.801711443736835</v>
      </c>
      <c r="H5" s="5">
        <v>0.887333352961931</v>
      </c>
      <c r="I5" s="5">
        <v>0.758602973478501</v>
      </c>
      <c r="J5" s="5">
        <v>0.892975762417987</v>
      </c>
      <c r="K5" s="5">
        <v>0.814713896457766</v>
      </c>
      <c r="L5" s="5">
        <v>0.889307234243764</v>
      </c>
      <c r="M5" s="5">
        <v>0.59622790932537</v>
      </c>
      <c r="N5" s="5">
        <v>0.777594232275495</v>
      </c>
      <c r="O5" s="5">
        <v>0.978317618494949</v>
      </c>
      <c r="P5" s="5">
        <v>0.877955925385222</v>
      </c>
    </row>
    <row r="6" s="5" customFormat="1" spans="1:16">
      <c r="A6" s="5" t="s">
        <v>55</v>
      </c>
      <c r="B6" s="5" t="s">
        <v>68</v>
      </c>
      <c r="C6" s="5" t="s">
        <v>18</v>
      </c>
      <c r="D6" s="5">
        <v>591</v>
      </c>
      <c r="E6" s="5">
        <v>734</v>
      </c>
      <c r="F6" s="5">
        <v>0.852224416739064</v>
      </c>
      <c r="G6" s="5">
        <v>0.821525885558583</v>
      </c>
      <c r="H6" s="5">
        <v>0.900238459109126</v>
      </c>
      <c r="I6" s="5">
        <v>0.76791926668616</v>
      </c>
      <c r="J6" s="5">
        <v>0.867834171632244</v>
      </c>
      <c r="K6" s="5">
        <v>0.821525885558583</v>
      </c>
      <c r="L6" s="5">
        <v>0.901704103536106</v>
      </c>
      <c r="M6" s="5">
        <v>0.602254282764933</v>
      </c>
      <c r="N6" s="5">
        <v>0.741451036842411</v>
      </c>
      <c r="O6" s="5">
        <v>0.973901072081572</v>
      </c>
      <c r="P6" s="5">
        <v>0.857676054461991</v>
      </c>
    </row>
    <row r="7" s="5" customFormat="1" spans="1:16">
      <c r="A7" s="5" t="s">
        <v>59</v>
      </c>
      <c r="B7" s="5" t="s">
        <v>69</v>
      </c>
      <c r="C7" s="5" t="s">
        <v>18</v>
      </c>
      <c r="D7" s="5">
        <v>591</v>
      </c>
      <c r="E7" s="5">
        <v>734</v>
      </c>
      <c r="F7" s="5">
        <v>0.883173231939276</v>
      </c>
      <c r="G7" s="5">
        <v>0.791553133514986</v>
      </c>
      <c r="H7" s="5">
        <v>0.876315194259478</v>
      </c>
      <c r="I7" s="5">
        <v>0.736824436220325</v>
      </c>
      <c r="J7" s="5">
        <v>0.895247182203728</v>
      </c>
      <c r="K7" s="5">
        <v>0.80339757614708</v>
      </c>
      <c r="L7" s="5">
        <v>0.876378326338588</v>
      </c>
      <c r="M7" s="5">
        <v>0.580380347178523</v>
      </c>
      <c r="N7" s="5">
        <v>0.699087346893557</v>
      </c>
      <c r="O7" s="5">
        <v>0.967764402315028</v>
      </c>
      <c r="P7" s="5">
        <v>0.833425874604292</v>
      </c>
    </row>
    <row r="8" s="5" customFormat="1" spans="1:16">
      <c r="A8" s="5" t="s">
        <v>70</v>
      </c>
      <c r="B8" s="5" t="s">
        <v>71</v>
      </c>
      <c r="C8" s="5" t="s">
        <v>18</v>
      </c>
      <c r="D8" s="5">
        <v>591</v>
      </c>
      <c r="E8" s="5">
        <v>734</v>
      </c>
      <c r="F8" s="5">
        <v>0.876910548287272</v>
      </c>
      <c r="G8" s="5">
        <v>0.805594923726966</v>
      </c>
      <c r="H8" s="5">
        <v>0.882914705471895</v>
      </c>
      <c r="I8" s="5">
        <v>0.763790241550556</v>
      </c>
      <c r="J8" s="5">
        <v>0.890399641603548</v>
      </c>
      <c r="K8" s="5">
        <v>0.819046992851072</v>
      </c>
      <c r="L8" s="5">
        <v>0.893051797014551</v>
      </c>
      <c r="M8" s="5">
        <v>0.595771303696221</v>
      </c>
      <c r="N8" s="5">
        <v>0.790953735835797</v>
      </c>
      <c r="O8" s="5">
        <v>0.980214853574355</v>
      </c>
      <c r="P8" s="5">
        <v>0.885584294705076</v>
      </c>
    </row>
    <row r="9" s="5" customFormat="1" spans="1:16">
      <c r="A9" s="5" t="s">
        <v>72</v>
      </c>
      <c r="B9" s="5" t="s">
        <v>73</v>
      </c>
      <c r="C9" s="5" t="s">
        <v>18</v>
      </c>
      <c r="D9" s="5">
        <v>591</v>
      </c>
      <c r="E9" s="5">
        <v>734</v>
      </c>
      <c r="F9" s="5">
        <v>0.871837762636002</v>
      </c>
      <c r="G9" s="5">
        <v>0.824840156327077</v>
      </c>
      <c r="H9" s="5">
        <v>0.894984641075394</v>
      </c>
      <c r="I9" s="5">
        <v>0.772400436786195</v>
      </c>
      <c r="J9" s="5">
        <v>0.893639375099828</v>
      </c>
      <c r="K9" s="5">
        <v>0.826975476839237</v>
      </c>
      <c r="L9" s="5">
        <v>0.895478359690535</v>
      </c>
      <c r="M9" s="5">
        <v>0.599432357665916</v>
      </c>
      <c r="N9" s="5">
        <v>0.708140283101103</v>
      </c>
      <c r="O9" s="5">
        <v>0.96907195498956</v>
      </c>
      <c r="P9" s="5">
        <v>0.838606119045332</v>
      </c>
    </row>
    <row r="10" s="5" customFormat="1" spans="1:16">
      <c r="A10" s="5" t="s">
        <v>74</v>
      </c>
      <c r="B10" s="5" t="s">
        <v>75</v>
      </c>
      <c r="C10" s="5" t="s">
        <v>18</v>
      </c>
      <c r="D10" s="5">
        <v>591</v>
      </c>
      <c r="E10" s="5">
        <v>734</v>
      </c>
      <c r="F10" s="5">
        <v>0.877882253800768</v>
      </c>
      <c r="G10" s="5">
        <v>0.790190735694823</v>
      </c>
      <c r="H10" s="5">
        <v>0.884044979139828</v>
      </c>
      <c r="I10" s="5">
        <v>0.768754407717896</v>
      </c>
      <c r="J10" s="5">
        <v>0.905516632736021</v>
      </c>
      <c r="K10" s="5">
        <v>0.807901907356948</v>
      </c>
      <c r="L10" s="5">
        <v>0.8935601805797</v>
      </c>
      <c r="M10" s="5">
        <v>0.598550629889186</v>
      </c>
      <c r="N10" s="5">
        <v>0.499664469845171</v>
      </c>
      <c r="O10" s="5">
        <v>0.924844446123009</v>
      </c>
      <c r="P10" s="5">
        <v>0.71225445798409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"/>
  <sheetViews>
    <sheetView tabSelected="1" workbookViewId="0">
      <selection activeCell="G11" sqref="G11"/>
    </sheetView>
  </sheetViews>
  <sheetFormatPr defaultColWidth="9" defaultRowHeight="13.5"/>
  <cols>
    <col min="1" max="1" width="73.25" customWidth="1"/>
    <col min="12" max="12" width="16.375" customWidth="1"/>
  </cols>
  <sheetData>
    <row r="1" s="1" customFormat="1" spans="1:1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</row>
    <row r="2" s="1" customFormat="1" spans="1:16">
      <c r="A2" s="1" t="s">
        <v>70</v>
      </c>
      <c r="B2" s="1" t="s">
        <v>71</v>
      </c>
      <c r="C2" s="1" t="s">
        <v>18</v>
      </c>
      <c r="D2" s="1">
        <v>298</v>
      </c>
      <c r="E2" s="1">
        <v>371</v>
      </c>
      <c r="F2" s="1">
        <v>0.907909034624435</v>
      </c>
      <c r="G2" s="1">
        <v>0.797843665768194</v>
      </c>
      <c r="H2" s="1">
        <v>0.875876432299957</v>
      </c>
      <c r="I2" s="1">
        <v>0.734612085173219</v>
      </c>
      <c r="J2" s="1">
        <v>0.910976294876544</v>
      </c>
      <c r="K2" s="1">
        <v>0.800539083557951</v>
      </c>
      <c r="L2" s="1">
        <v>0.856369380569216</v>
      </c>
      <c r="M2" s="1">
        <v>0.569828326924145</v>
      </c>
      <c r="N2" s="1">
        <v>0.808336468719194</v>
      </c>
      <c r="O2" s="1">
        <v>0.981171729077198</v>
      </c>
      <c r="P2" s="1">
        <v>0.894754098898196</v>
      </c>
    </row>
    <row r="3" s="2" customFormat="1" spans="1:16">
      <c r="A3" s="2" t="s">
        <v>63</v>
      </c>
      <c r="B3" s="2" t="s">
        <v>64</v>
      </c>
      <c r="C3" s="2" t="s">
        <v>18</v>
      </c>
      <c r="D3" s="2">
        <v>298</v>
      </c>
      <c r="E3" s="2">
        <v>371</v>
      </c>
      <c r="F3" s="2">
        <v>0.879401900207302</v>
      </c>
      <c r="G3" s="2">
        <v>0.805929919137466</v>
      </c>
      <c r="H3" s="2">
        <v>0.882473516303804</v>
      </c>
      <c r="I3" s="2">
        <v>0.744125209342119</v>
      </c>
      <c r="J3" s="2">
        <v>0.915931546405379</v>
      </c>
      <c r="K3" s="2">
        <v>0.797843665768194</v>
      </c>
      <c r="L3" s="2">
        <v>0.870557496671298</v>
      </c>
      <c r="M3" s="2">
        <v>0.591502853639198</v>
      </c>
      <c r="N3" s="2">
        <v>0.745854336035159</v>
      </c>
      <c r="O3" s="2">
        <v>0.972743931635684</v>
      </c>
      <c r="P3" s="2">
        <v>0.859299133835422</v>
      </c>
    </row>
    <row r="4" s="3" customFormat="1" spans="1:16">
      <c r="A4" s="3" t="s">
        <v>53</v>
      </c>
      <c r="B4" s="3" t="s">
        <v>65</v>
      </c>
      <c r="C4" s="3" t="s">
        <v>18</v>
      </c>
      <c r="D4" s="3">
        <v>298</v>
      </c>
      <c r="E4" s="3">
        <v>371</v>
      </c>
      <c r="F4" s="3">
        <v>0.85327803287429</v>
      </c>
      <c r="G4" s="3">
        <v>0.783776556951225</v>
      </c>
      <c r="H4" s="3">
        <v>0.871366468350774</v>
      </c>
      <c r="I4" s="3">
        <v>0.740118786797966</v>
      </c>
      <c r="J4" s="3">
        <v>0.873170870944915</v>
      </c>
      <c r="K4" s="3">
        <v>0.795148247978437</v>
      </c>
      <c r="L4" s="3">
        <v>0.869507088693924</v>
      </c>
      <c r="M4" s="3">
        <v>0.576895550072665</v>
      </c>
      <c r="N4" s="3">
        <v>0.76649684574488</v>
      </c>
      <c r="O4" s="3">
        <v>0.975539918187663</v>
      </c>
      <c r="P4" s="3">
        <v>0.871018381966271</v>
      </c>
    </row>
    <row r="5" s="3" customFormat="1" spans="1:16">
      <c r="A5" s="3" t="s">
        <v>61</v>
      </c>
      <c r="B5" s="3" t="s">
        <v>67</v>
      </c>
      <c r="C5" s="3" t="s">
        <v>18</v>
      </c>
      <c r="D5" s="3">
        <v>298</v>
      </c>
      <c r="E5" s="3">
        <v>371</v>
      </c>
      <c r="F5" s="3">
        <v>0.894792866734155</v>
      </c>
      <c r="G5" s="3">
        <v>0.797843665768194</v>
      </c>
      <c r="H5" s="3">
        <v>0.892708187112624</v>
      </c>
      <c r="I5" s="3">
        <v>0.749440665353199</v>
      </c>
      <c r="J5" s="3">
        <v>0.892215768828832</v>
      </c>
      <c r="K5" s="3">
        <v>0.795148247978437</v>
      </c>
      <c r="L5" s="3">
        <v>0.877858603947742</v>
      </c>
      <c r="M5" s="3">
        <v>0.589212831664598</v>
      </c>
      <c r="N5" s="3">
        <v>0.759926151251739</v>
      </c>
      <c r="O5" s="3">
        <v>0.974539070374262</v>
      </c>
      <c r="P5" s="3">
        <v>0.867232610813</v>
      </c>
    </row>
    <row r="6" s="1" customFormat="1" spans="1:16">
      <c r="A6" s="1" t="s">
        <v>74</v>
      </c>
      <c r="B6" s="1" t="s">
        <v>75</v>
      </c>
      <c r="C6" s="1" t="s">
        <v>18</v>
      </c>
      <c r="D6" s="1">
        <v>298</v>
      </c>
      <c r="E6" s="1">
        <v>371</v>
      </c>
      <c r="F6" s="1">
        <v>0.915093995228126</v>
      </c>
      <c r="G6" s="1">
        <v>0.797843665768194</v>
      </c>
      <c r="H6" s="1">
        <v>0.891441479701387</v>
      </c>
      <c r="I6" s="1">
        <v>0.757381091087925</v>
      </c>
      <c r="J6" s="1">
        <v>0.905000723127295</v>
      </c>
      <c r="K6" s="1">
        <v>0.796007919904002</v>
      </c>
      <c r="L6" s="1">
        <v>0.872502879823024</v>
      </c>
      <c r="M6" s="1">
        <v>0.587149417104577</v>
      </c>
      <c r="N6" s="1">
        <v>0.521659796074856</v>
      </c>
      <c r="O6" s="1">
        <v>0.926906082312756</v>
      </c>
      <c r="P6" s="1">
        <v>0.724282939193806</v>
      </c>
    </row>
    <row r="7" s="1" customFormat="1" spans="1:16">
      <c r="A7" s="1" t="s">
        <v>55</v>
      </c>
      <c r="B7" s="1" t="s">
        <v>68</v>
      </c>
      <c r="C7" s="1" t="s">
        <v>18</v>
      </c>
      <c r="D7" s="1">
        <v>298</v>
      </c>
      <c r="E7" s="1">
        <v>371</v>
      </c>
      <c r="F7" s="1">
        <v>0.848522836032255</v>
      </c>
      <c r="G7" s="1">
        <v>0.830434666533397</v>
      </c>
      <c r="H7" s="1">
        <v>0.889074176961622</v>
      </c>
      <c r="I7" s="1">
        <v>0.751811484912172</v>
      </c>
      <c r="J7" s="1">
        <v>0.902090312347316</v>
      </c>
      <c r="K7" s="1">
        <v>0.76010781671159</v>
      </c>
      <c r="L7" s="1">
        <v>0.863694759623403</v>
      </c>
      <c r="M7" s="1">
        <v>0.569585270075003</v>
      </c>
      <c r="N7" s="1">
        <v>0.754187450359267</v>
      </c>
      <c r="O7" s="1">
        <v>0.974059165491106</v>
      </c>
      <c r="P7" s="1">
        <v>0.864123307925186</v>
      </c>
    </row>
    <row r="8" s="1" customFormat="1" spans="1:16">
      <c r="A8" s="1" t="s">
        <v>59</v>
      </c>
      <c r="B8" s="1" t="s">
        <v>69</v>
      </c>
      <c r="C8" s="1" t="s">
        <v>18</v>
      </c>
      <c r="D8" s="1">
        <v>298</v>
      </c>
      <c r="E8" s="1">
        <v>371</v>
      </c>
      <c r="F8" s="1">
        <v>0.843101642067137</v>
      </c>
      <c r="G8" s="1">
        <v>0.78167115902965</v>
      </c>
      <c r="H8" s="1">
        <v>0.865221875805979</v>
      </c>
      <c r="I8" s="1">
        <v>0.706612970472966</v>
      </c>
      <c r="J8" s="1">
        <v>0.866198829519165</v>
      </c>
      <c r="K8" s="1">
        <v>0.785230659725312</v>
      </c>
      <c r="L8" s="1">
        <v>0.86039849727503</v>
      </c>
      <c r="M8" s="1">
        <v>0.568197075154607</v>
      </c>
      <c r="N8" s="1">
        <v>0.681114473213616</v>
      </c>
      <c r="O8" s="1">
        <v>0.962557106120716</v>
      </c>
      <c r="P8" s="1">
        <v>0.821835789667166</v>
      </c>
    </row>
    <row r="9" s="1" customFormat="1" spans="1:16">
      <c r="A9" s="1" t="s">
        <v>55</v>
      </c>
      <c r="B9" s="1" t="s">
        <v>76</v>
      </c>
      <c r="C9" s="1" t="s">
        <v>18</v>
      </c>
      <c r="D9" s="1">
        <v>298</v>
      </c>
      <c r="E9" s="1">
        <v>371</v>
      </c>
      <c r="F9" s="1">
        <v>0.848522836032255</v>
      </c>
      <c r="G9" s="1">
        <v>0.830434666533397</v>
      </c>
      <c r="H9" s="1">
        <v>0.889074176961622</v>
      </c>
      <c r="I9" s="1">
        <v>0.751811484912172</v>
      </c>
      <c r="J9" s="1">
        <v>0.902090312347316</v>
      </c>
      <c r="K9" s="1">
        <v>0.76010781671159</v>
      </c>
      <c r="L9" s="1">
        <v>0.863694759623403</v>
      </c>
      <c r="M9" s="1">
        <v>0.569585270075003</v>
      </c>
      <c r="N9" s="1">
        <v>0.754187450359267</v>
      </c>
      <c r="O9" s="1">
        <v>0.974059165491106</v>
      </c>
      <c r="P9" s="1">
        <v>0.864123307925186</v>
      </c>
    </row>
    <row r="10" s="1" customFormat="1" spans="1:16">
      <c r="A10" s="1" t="s">
        <v>77</v>
      </c>
      <c r="B10" s="1" t="s">
        <v>78</v>
      </c>
      <c r="C10" s="1" t="s">
        <v>18</v>
      </c>
      <c r="D10" s="1">
        <v>298</v>
      </c>
      <c r="E10" s="1">
        <v>371</v>
      </c>
      <c r="F10" s="1">
        <v>0.871905486110266</v>
      </c>
      <c r="G10" s="1">
        <v>0.825616449230042</v>
      </c>
      <c r="H10" s="1">
        <v>0.895476081233153</v>
      </c>
      <c r="I10" s="1">
        <v>0.735662636062524</v>
      </c>
      <c r="J10" s="1">
        <v>0.877546031769831</v>
      </c>
      <c r="K10" s="1">
        <v>0.83060034584255</v>
      </c>
      <c r="L10" s="1">
        <v>0.886162581164522</v>
      </c>
      <c r="M10" s="1">
        <v>0.581151867776315</v>
      </c>
      <c r="N10" s="1">
        <v>0.678936108408097</v>
      </c>
      <c r="O10" s="1">
        <v>0.962713287552861</v>
      </c>
      <c r="P10" s="1">
        <v>0.820824697980479</v>
      </c>
    </row>
    <row r="11" s="3" customFormat="1" spans="1:16">
      <c r="A11" s="3" t="s">
        <v>51</v>
      </c>
      <c r="B11" s="3" t="s">
        <v>66</v>
      </c>
      <c r="C11" s="3" t="s">
        <v>18</v>
      </c>
      <c r="D11" s="3">
        <v>298</v>
      </c>
      <c r="E11" s="3">
        <v>371</v>
      </c>
      <c r="F11" s="3">
        <v>0.831481355419186</v>
      </c>
      <c r="G11" s="3">
        <v>0.846361185983827</v>
      </c>
      <c r="H11" s="3">
        <v>0.89257722798974</v>
      </c>
      <c r="I11" s="3">
        <v>0.75546106826136</v>
      </c>
      <c r="J11" s="3">
        <v>0.913888328958651</v>
      </c>
      <c r="K11" s="3">
        <v>0.80096923884954</v>
      </c>
      <c r="L11" s="3">
        <v>0.889753767893788</v>
      </c>
      <c r="M11" s="3">
        <v>0.595226050683247</v>
      </c>
      <c r="N11" s="3">
        <v>0.760324096021972</v>
      </c>
      <c r="O11" s="3">
        <v>0.975024408821475</v>
      </c>
      <c r="P11" s="3">
        <v>0.867674252421724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paper数据</vt:lpstr>
      <vt:lpstr>Sheet1</vt:lpstr>
      <vt:lpstr>简单数据val</vt:lpstr>
      <vt:lpstr>简单数据test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不再见</cp:lastModifiedBy>
  <dcterms:created xsi:type="dcterms:W3CDTF">2026-03-16T10:47:00Z</dcterms:created>
  <dcterms:modified xsi:type="dcterms:W3CDTF">2026-03-18T12:13:29Z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B0C38AC4C85E4361801629A1079419D8_12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